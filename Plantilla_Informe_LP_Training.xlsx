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INFORME MENSUAL" sheetId="2" state="visible" r:id="rId2"/>
    <sheet xmlns:r="http://schemas.openxmlformats.org/officeDocument/2006/relationships" name="RESUMEN ANUAL" sheetId="3" state="visible" r:id="rId3"/>
    <sheet xmlns:r="http://schemas.openxmlformats.org/officeDocument/2006/relationships" name="_chart_data" sheetId="4" state="hidden" r:id="rId4"/>
  </sheets>
  <definedNames>
    <definedName name="_xlnm.Print_Area" localSheetId="1">'INFORME MENSUAL'!$B$1:$M$55</definedName>
    <definedName name="_xlnm.Print_Area" localSheetId="2">'RESUMEN ANUAL'!$B$1:$M$55</definedName>
  </definedNames>
  <calcPr calcId="124519" fullCalcOnLoad="1"/>
</workbook>
</file>

<file path=xl/styles.xml><?xml version="1.0" encoding="utf-8"?>
<styleSheet xmlns="http://schemas.openxmlformats.org/spreadsheetml/2006/main">
  <numFmts count="4">
    <numFmt numFmtId="164" formatCode="0.0"/>
    <numFmt numFmtId="165" formatCode="0.0&quot; h&quot;"/>
    <numFmt numFmtId="166" formatCode="+0.0;-0.0;0.0"/>
    <numFmt numFmtId="167" formatCode="+0.0%;-0.0%;0.0%"/>
  </numFmts>
  <fonts count="17">
    <font>
      <name val="Calibri"/>
      <family val="2"/>
      <color theme="1"/>
      <sz val="11"/>
      <scheme val="minor"/>
    </font>
    <font>
      <name val="Calibri"/>
      <b val="1"/>
      <color rgb="00FFFFFF"/>
      <sz val="20"/>
    </font>
    <font>
      <name val="Calibri"/>
      <i val="1"/>
      <color rgb="00FFFFFF"/>
      <sz val="10"/>
    </font>
    <font>
      <name val="Calibri"/>
      <b val="1"/>
      <color rgb="00FFFFFF"/>
      <sz val="12"/>
    </font>
    <font>
      <name val="Calibri"/>
      <b val="1"/>
      <color rgb="001A1A1A"/>
      <sz val="10"/>
    </font>
    <font>
      <name val="Calibri"/>
      <b val="1"/>
      <color rgb="00000000"/>
      <sz val="11"/>
    </font>
    <font>
      <name val="Calibri"/>
      <i val="1"/>
      <color rgb="00616161"/>
      <sz val="9"/>
    </font>
    <font>
      <name val="Calibri"/>
      <b val="1"/>
      <color rgb="001A1A1A"/>
      <sz val="11"/>
    </font>
    <font>
      <name val="Calibri"/>
      <color rgb="001A1A1A"/>
      <sz val="11"/>
    </font>
    <font>
      <name val="Calibri"/>
      <b val="1"/>
      <i val="1"/>
      <color rgb="001A1A1A"/>
      <sz val="10"/>
    </font>
    <font>
      <name val="Calibri"/>
      <b val="1"/>
      <color rgb="00FFFFFF"/>
      <sz val="24"/>
    </font>
    <font>
      <name val="Calibri"/>
      <b val="1"/>
      <color rgb="001A1A1A"/>
      <sz val="18"/>
    </font>
    <font>
      <name val="Calibri"/>
      <b val="1"/>
      <color rgb="00000000"/>
      <sz val="9"/>
    </font>
    <font>
      <name val="Calibri"/>
      <b val="1"/>
      <color rgb="001A1A1A"/>
      <sz val="22"/>
    </font>
    <font>
      <name val="Calibri"/>
      <b val="1"/>
      <color rgb="00FFFFFF"/>
      <sz val="10"/>
    </font>
    <font>
      <name val="Calibri"/>
      <i val="1"/>
      <color rgb="00FFFFFF"/>
      <sz val="9"/>
    </font>
    <font>
      <name val="Calibri"/>
      <color rgb="001A1A1A"/>
      <sz val="10"/>
    </font>
  </fonts>
  <fills count="9">
    <fill>
      <patternFill/>
    </fill>
    <fill>
      <patternFill patternType="gray125"/>
    </fill>
    <fill>
      <patternFill patternType="solid">
        <fgColor rgb="001A1A1A"/>
      </patternFill>
    </fill>
    <fill>
      <patternFill patternType="solid">
        <fgColor rgb="003D3D3D"/>
      </patternFill>
    </fill>
    <fill>
      <patternFill patternType="solid">
        <fgColor rgb="00FFF59D"/>
      </patternFill>
    </fill>
    <fill>
      <patternFill patternType="solid">
        <fgColor rgb="00FFF9C4"/>
      </patternFill>
    </fill>
    <fill>
      <patternFill patternType="solid">
        <fgColor rgb="00FFD600"/>
      </patternFill>
    </fill>
    <fill>
      <patternFill patternType="solid">
        <fgColor rgb="00FFFFFF"/>
      </patternFill>
    </fill>
    <fill>
      <patternFill patternType="solid">
        <fgColor rgb="00FAFAFA"/>
      </patternFill>
    </fill>
  </fills>
  <borders count="5">
    <border>
      <left/>
      <right/>
      <top/>
      <bottom/>
      <diagonal/>
    </border>
    <border>
      <left style="thin">
        <color rgb="00BDBDBD"/>
      </left>
      <right style="thin">
        <color rgb="00BDBDBD"/>
      </right>
      <top style="thin">
        <color rgb="00BDBDBD"/>
      </top>
      <bottom style="thin">
        <color rgb="00BDBDBD"/>
      </bottom>
    </border>
    <border>
      <bottom style="medium">
        <color rgb="001A1A1A"/>
      </bottom>
    </border>
    <border>
      <left style="medium">
        <color rgb="00F9A825"/>
      </left>
      <right style="medium">
        <color rgb="00F9A825"/>
      </right>
    </border>
    <border>
      <left style="medium">
        <color rgb="00F9A825"/>
      </left>
      <right style="medium">
        <color rgb="00F9A825"/>
      </right>
      <bottom style="medium">
        <color rgb="00F9A825"/>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left" vertical="center" indent="1"/>
    </xf>
    <xf numFmtId="0" fontId="4" fillId="0" borderId="0" applyAlignment="1" pivotButton="0" quotePrefix="0" xfId="0">
      <alignment horizontal="left" vertical="center" indent="1"/>
    </xf>
    <xf numFmtId="0" fontId="5" fillId="4" borderId="1" applyAlignment="1" pivotButton="0" quotePrefix="0" xfId="0">
      <alignment horizontal="center" vertical="center"/>
    </xf>
    <xf numFmtId="0" fontId="6" fillId="0" borderId="0" applyAlignment="1" pivotButton="0" quotePrefix="0" xfId="0">
      <alignment horizontal="left" vertical="center" indent="1"/>
    </xf>
    <xf numFmtId="0" fontId="4" fillId="5" borderId="1" applyAlignment="1" pivotButton="0" quotePrefix="0" xfId="0">
      <alignment horizontal="center" vertical="center" wrapText="1"/>
    </xf>
    <xf numFmtId="0" fontId="4" fillId="4" borderId="1" applyAlignment="1" pivotButton="0" quotePrefix="0" xfId="0">
      <alignment horizontal="center" vertical="center"/>
    </xf>
    <xf numFmtId="0" fontId="4" fillId="0" borderId="1" applyAlignment="1" pivotButton="0" quotePrefix="0" xfId="0">
      <alignment horizontal="center" vertical="center"/>
    </xf>
    <xf numFmtId="2" fontId="5" fillId="4" borderId="1" applyAlignment="1" pivotButton="0" quotePrefix="0" xfId="0">
      <alignment horizontal="center" vertical="center"/>
    </xf>
    <xf numFmtId="0" fontId="4" fillId="0" borderId="0" applyAlignment="1" pivotButton="0" quotePrefix="0" xfId="0">
      <alignment horizontal="right" vertical="center"/>
    </xf>
    <xf numFmtId="2" fontId="7" fillId="0" borderId="1" applyAlignment="1" pivotButton="0" quotePrefix="0" xfId="0">
      <alignment horizontal="center" vertical="center"/>
    </xf>
    <xf numFmtId="0" fontId="8" fillId="4" borderId="1" applyAlignment="1" pivotButton="0" quotePrefix="0" xfId="0">
      <alignment horizontal="left" vertical="top" wrapText="1" indent="1"/>
    </xf>
    <xf numFmtId="164" fontId="5" fillId="4" borderId="1" applyAlignment="1" pivotButton="0" quotePrefix="0" xfId="0">
      <alignment horizontal="center" vertical="center"/>
    </xf>
    <xf numFmtId="0" fontId="9" fillId="5" borderId="0" applyAlignment="1" pivotButton="0" quotePrefix="0" xfId="0">
      <alignment horizontal="center" vertical="center"/>
    </xf>
    <xf numFmtId="0" fontId="10" fillId="2" borderId="0" applyAlignment="1" pivotButton="0" quotePrefix="0" xfId="0">
      <alignment horizontal="center" vertical="center"/>
    </xf>
    <xf numFmtId="0" fontId="2" fillId="3" borderId="0" applyAlignment="1" pivotButton="0" quotePrefix="0" xfId="0">
      <alignment horizontal="center" vertical="center"/>
    </xf>
    <xf numFmtId="0" fontId="11" fillId="0" borderId="2" applyAlignment="1" pivotButton="0" quotePrefix="0" xfId="0">
      <alignment horizontal="center" vertical="center"/>
    </xf>
    <xf numFmtId="0" fontId="7" fillId="5" borderId="0" applyAlignment="1" pivotButton="0" quotePrefix="0" xfId="0">
      <alignment horizontal="left" vertical="center" indent="1"/>
    </xf>
    <xf numFmtId="0" fontId="12" fillId="6" borderId="0" applyAlignment="1" pivotButton="0" quotePrefix="0" xfId="0">
      <alignment horizontal="center" vertical="center" wrapText="1"/>
    </xf>
    <xf numFmtId="9" fontId="13" fillId="7" borderId="3" applyAlignment="1" pivotButton="0" quotePrefix="0" xfId="0">
      <alignment horizontal="center" vertical="center" wrapText="1"/>
    </xf>
    <xf numFmtId="164" fontId="13" fillId="7" borderId="3" applyAlignment="1" pivotButton="0" quotePrefix="0" xfId="0">
      <alignment horizontal="center" vertical="center" wrapText="1"/>
    </xf>
    <xf numFmtId="49" fontId="13" fillId="7" borderId="3" applyAlignment="1" pivotButton="0" quotePrefix="0" xfId="0">
      <alignment horizontal="center" vertical="center" wrapText="1"/>
    </xf>
    <xf numFmtId="0" fontId="6" fillId="7" borderId="4" applyAlignment="1" pivotButton="0" quotePrefix="0" xfId="0">
      <alignment horizontal="center" vertical="center" wrapText="1"/>
    </xf>
    <xf numFmtId="0" fontId="14" fillId="3" borderId="1" applyAlignment="1" pivotButton="0" quotePrefix="0" xfId="0">
      <alignment horizontal="center" vertical="center" wrapText="1"/>
    </xf>
    <xf numFmtId="0" fontId="4" fillId="8" borderId="1" applyAlignment="1" pivotButton="0" quotePrefix="0" xfId="0">
      <alignment horizontal="left" vertical="center" indent="1"/>
    </xf>
    <xf numFmtId="164" fontId="8" fillId="8" borderId="1" applyAlignment="1" pivotButton="0" quotePrefix="0" xfId="0">
      <alignment horizontal="center" vertical="center" wrapText="1"/>
    </xf>
    <xf numFmtId="166" fontId="7" fillId="8" borderId="1" applyAlignment="1" pivotButton="0" quotePrefix="0" xfId="0">
      <alignment horizontal="center" vertical="center" wrapText="1"/>
    </xf>
    <xf numFmtId="167" fontId="7" fillId="8" borderId="1" applyAlignment="1" pivotButton="0" quotePrefix="0" xfId="0">
      <alignment horizontal="center" vertical="center" wrapText="1"/>
    </xf>
    <xf numFmtId="0" fontId="4" fillId="7" borderId="1" applyAlignment="1" pivotButton="0" quotePrefix="0" xfId="0">
      <alignment horizontal="left" vertical="center" indent="1"/>
    </xf>
    <xf numFmtId="0" fontId="8" fillId="7" borderId="1" applyAlignment="1" pivotButton="0" quotePrefix="0" xfId="0">
      <alignment horizontal="center" vertical="center" wrapText="1"/>
    </xf>
    <xf numFmtId="0" fontId="7" fillId="7" borderId="1" applyAlignment="1" pivotButton="0" quotePrefix="0" xfId="0">
      <alignment horizontal="center" vertical="center" wrapText="1"/>
    </xf>
    <xf numFmtId="167" fontId="7"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7" fillId="8" borderId="1" applyAlignment="1" pivotButton="0" quotePrefix="0" xfId="0">
      <alignment horizontal="center" vertical="center" wrapText="1"/>
    </xf>
    <xf numFmtId="164" fontId="8" fillId="7" borderId="1" applyAlignment="1" pivotButton="0" quotePrefix="0" xfId="0">
      <alignment horizontal="center" vertical="center" wrapText="1"/>
    </xf>
    <xf numFmtId="166" fontId="7" fillId="7" borderId="1" applyAlignment="1" pivotButton="0" quotePrefix="0" xfId="0">
      <alignment horizontal="center" vertical="center" wrapText="1"/>
    </xf>
    <xf numFmtId="0" fontId="3" fillId="2" borderId="0" applyAlignment="1" pivotButton="0" quotePrefix="0" xfId="0">
      <alignment horizontal="center" vertical="center"/>
    </xf>
    <xf numFmtId="0" fontId="15" fillId="2" borderId="0" applyAlignment="1" pivotButton="0" quotePrefix="0" xfId="0">
      <alignment horizontal="center" vertical="center" wrapText="1"/>
    </xf>
    <xf numFmtId="0" fontId="7" fillId="5" borderId="0" applyAlignment="1" pivotButton="0" quotePrefix="0" xfId="0">
      <alignment horizontal="center" vertical="center"/>
    </xf>
    <xf numFmtId="0" fontId="16" fillId="8" borderId="1" applyAlignment="1" pivotButton="0" quotePrefix="0" xfId="0">
      <alignment horizontal="left" vertical="top" wrapText="1" inden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plotArea>
      <barChart>
        <barDir val="col"/>
        <grouping val="clustered"/>
        <ser>
          <idx val="0"/>
          <order val="0"/>
          <tx>
            <strRef>
              <f>'_chart_data'!B1</f>
            </strRef>
          </tx>
          <spPr>
            <a:solidFill xmlns:a="http://schemas.openxmlformats.org/drawingml/2006/main">
              <a:srgbClr val="FFD600"/>
            </a:solidFill>
            <a:ln xmlns:a="http://schemas.openxmlformats.org/drawingml/2006/main">
              <a:prstDash val="solid"/>
            </a:ln>
          </spPr>
          <cat>
            <numRef>
              <f>'_chart_data'!$A$2:$A$6</f>
            </numRef>
          </cat>
          <val>
            <numRef>
              <f>'_chart_data'!$B$2:$B$6</f>
            </numRef>
          </val>
        </ser>
        <dLbls>
          <showLegendKey val="0"/>
          <showVal val="1"/>
          <showCatName val="0"/>
          <showSerNam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2"/>
  <chart>
    <plotArea>
      <barChart>
        <barDir val="col"/>
        <grouping val="clustered"/>
        <ser>
          <idx val="0"/>
          <order val="0"/>
          <tx>
            <strRef>
              <f>'_chart_data'!C1</f>
            </strRef>
          </tx>
          <spPr>
            <a:solidFill xmlns:a="http://schemas.openxmlformats.org/drawingml/2006/main">
              <a:srgbClr val="F9A825"/>
            </a:solidFill>
            <a:ln xmlns:a="http://schemas.openxmlformats.org/drawingml/2006/main">
              <a:prstDash val="solid"/>
            </a:ln>
          </spPr>
          <cat>
            <numRef>
              <f>'_chart_data'!$A$2:$A$6</f>
            </numRef>
          </cat>
          <val>
            <numRef>
              <f>'_chart_data'!$C$2:$C$6</f>
            </numRef>
          </val>
        </ser>
        <dLbls>
          <numFmt formatCode="0.0&quot; h&quot;"/>
          <showLegendKey val="0"/>
          <showVal val="1"/>
          <showCatName val="0"/>
          <showSerNam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0&quot; h&quot;" sourceLinked="0"/>
        <majorTickMark val="none"/>
        <minorTickMark val="none"/>
        <crossAx val="10"/>
      </valAx>
    </plotArea>
    <plotVisOnly val="1"/>
    <dispBlanksAs val="gap"/>
  </chart>
</chartSpace>
</file>

<file path=xl/charts/chart3.xml><?xml version="1.0" encoding="utf-8"?>
<chartSpace xmlns="http://schemas.openxmlformats.org/drawingml/2006/chart">
  <style val="2"/>
  <chart>
    <plotArea>
      <barChart>
        <barDir val="col"/>
        <grouping val="clustered"/>
        <ser>
          <idx val="0"/>
          <order val="0"/>
          <tx>
            <strRef>
              <f>'_chart_data'!F1</f>
            </strRef>
          </tx>
          <spPr>
            <a:solidFill xmlns:a="http://schemas.openxmlformats.org/drawingml/2006/main">
              <a:srgbClr val="2E7D32"/>
            </a:solidFill>
            <a:ln xmlns:a="http://schemas.openxmlformats.org/drawingml/2006/main">
              <a:prstDash val="solid"/>
            </a:ln>
          </spPr>
          <cat>
            <numRef>
              <f>'_chart_data'!$E$2:$E$9</f>
            </numRef>
          </cat>
          <val>
            <numRef>
              <f>'_chart_data'!$F$2:$F$9</f>
            </numRef>
          </val>
        </ser>
        <dLbls>
          <numFmt formatCode="0.0&quot;%&quot;"/>
          <showLegendKey val="0"/>
          <showVal val="1"/>
          <showCatName val="0"/>
          <showSerNam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quot;" sourceLinked="0"/>
        <majorTickMark val="none"/>
        <minorTickMark val="none"/>
        <crossAx val="10"/>
      </valAx>
    </plotArea>
    <plotVisOnly val="1"/>
    <dispBlanksAs val="gap"/>
  </chart>
</chartSpace>
</file>

<file path=xl/charts/chart4.xml><?xml version="1.0" encoding="utf-8"?>
<chartSpace xmlns="http://schemas.openxmlformats.org/drawingml/2006/chart">
  <style val="2"/>
  <chart>
    <plotArea>
      <barChart>
        <barDir val="col"/>
        <grouping val="clustered"/>
        <ser>
          <idx val="0"/>
          <order val="0"/>
          <tx>
            <strRef>
              <f>'_chart_data'!G1</f>
            </strRef>
          </tx>
          <spPr>
            <a:solidFill xmlns:a="http://schemas.openxmlformats.org/drawingml/2006/main">
              <a:srgbClr val="C62828"/>
            </a:solidFill>
            <a:ln xmlns:a="http://schemas.openxmlformats.org/drawingml/2006/main">
              <a:prstDash val="solid"/>
            </a:ln>
          </spPr>
          <cat>
            <numRef>
              <f>'_chart_data'!$E$2:$E$9</f>
            </numRef>
          </cat>
          <val>
            <numRef>
              <f>'_chart_data'!$G$2:$G$9</f>
            </numRef>
          </val>
        </ser>
        <dLbls>
          <numFmt formatCode="0.0&quot;%&quot;"/>
          <showLegendKey val="0"/>
          <showVal val="1"/>
          <showCatName val="0"/>
          <showSerNam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quot;" sourceLinked="0"/>
        <majorTickMark val="none"/>
        <minorTickMark val="none"/>
        <crossAx val="10"/>
      </valAx>
    </plotArea>
    <plotVisOnly val="1"/>
    <dispBlanksAs val="gap"/>
  </chart>
</chartSpace>
</file>

<file path=xl/charts/chart5.xml><?xml version="1.0" encoding="utf-8"?>
<chartSpace xmlns="http://schemas.openxmlformats.org/drawingml/2006/chart">
  <style val="2"/>
  <chart>
    <plotArea>
      <barChart>
        <barDir val="col"/>
        <grouping val="clustered"/>
        <ser>
          <idx val="0"/>
          <order val="0"/>
          <tx>
            <strRef>
              <f>'_chart_data'!J1</f>
            </strRef>
          </tx>
          <spPr>
            <a:solidFill xmlns:a="http://schemas.openxmlformats.org/drawingml/2006/main">
              <a:srgbClr val="FFD600"/>
            </a:solidFill>
            <a:ln xmlns:a="http://schemas.openxmlformats.org/drawingml/2006/main">
              <a:prstDash val="solid"/>
            </a:ln>
          </spPr>
          <cat>
            <numRef>
              <f>'_chart_data'!$I$2:$I$13</f>
            </numRef>
          </cat>
          <val>
            <numRef>
              <f>'_chart_data'!$J$2:$J$13</f>
            </numRef>
          </val>
        </ser>
        <dLbls>
          <numFmt formatCode="0"/>
          <showLegendKey val="0"/>
          <showVal val="1"/>
          <showCatName val="0"/>
          <showSerNam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col>
      <colOff>0</colOff>
      <row>20</row>
      <rowOff>0</rowOff>
    </from>
    <ext cx="396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20</row>
      <rowOff>0</rowOff>
    </from>
    <ext cx="396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37</row>
      <rowOff>0</rowOff>
    </from>
    <ext cx="3960000" cy="23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37</row>
      <rowOff>0</rowOff>
    </from>
    <ext cx="3960000" cy="23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1</col>
      <colOff>0</colOff>
      <row>13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F73"/>
  <sheetViews>
    <sheetView showGridLines="0" zoomScale="110" workbookViewId="0">
      <selection activeCell="A1" sqref="A1"/>
    </sheetView>
  </sheetViews>
  <sheetFormatPr baseColWidth="8" defaultRowHeight="15"/>
  <cols>
    <col width="2" customWidth="1" min="1" max="1"/>
    <col width="32" customWidth="1" min="2" max="2"/>
    <col width="18" customWidth="1" min="3" max="3"/>
    <col width="4" customWidth="1" min="4" max="4"/>
    <col width="32" customWidth="1" min="5" max="5"/>
    <col width="18" customWidth="1" min="6" max="6"/>
    <col width="2" customWidth="1" min="7" max="7"/>
  </cols>
  <sheetData>
    <row r="1" ht="8" customHeight="1"/>
    <row r="2" ht="38" customHeight="1">
      <c r="B2" s="1" t="inlineStr">
        <is>
          <t>HOJA DE ENTRADA DE DATOS  —  MÉTODO LP TRAINING</t>
        </is>
      </c>
    </row>
    <row r="3" ht="22" customHeight="1">
      <c r="B3" s="2" t="inlineStr">
        <is>
          <t>Rellena solo las celdas amarillas. Todo lo demás se calcula y se traslada al informe automáticamente.</t>
        </is>
      </c>
    </row>
    <row r="5" ht="26" customHeight="1">
      <c r="B5" s="3" t="inlineStr">
        <is>
          <t>1.  DATOS DEL CLIENTE Y MES</t>
        </is>
      </c>
    </row>
    <row r="6" ht="22" customHeight="1">
      <c r="B6" s="4" t="inlineStr">
        <is>
          <t>Nombre del cliente:</t>
        </is>
      </c>
      <c r="C6" s="5" t="inlineStr">
        <is>
          <t>JAIME MARTINEZ</t>
        </is>
      </c>
      <c r="E6" s="4" t="inlineStr">
        <is>
          <t>Mes del informe:</t>
        </is>
      </c>
      <c r="F6" s="5" t="inlineStr">
        <is>
          <t>MARZO</t>
        </is>
      </c>
    </row>
    <row r="7" ht="22" customHeight="1">
      <c r="B7" s="4" t="inlineStr">
        <is>
          <t>Distancia objetivo:</t>
        </is>
      </c>
      <c r="C7" s="5" t="inlineStr">
        <is>
          <t>MEDIA MARATÓN - ULTRA</t>
        </is>
      </c>
      <c r="E7" s="4" t="inlineStr">
        <is>
          <t>Año:</t>
        </is>
      </c>
      <c r="F7" s="5" t="n">
        <v>2025</v>
      </c>
    </row>
    <row r="8" ht="22" customHeight="1">
      <c r="B8" s="4" t="inlineStr">
        <is>
          <t>Fecha inicio plan:</t>
        </is>
      </c>
      <c r="C8" s="5" t="inlineStr">
        <is>
          <t>28/07/2025</t>
        </is>
      </c>
      <c r="E8" s="4" t="inlineStr">
        <is>
          <t>Número del mes (1-12):</t>
        </is>
      </c>
      <c r="F8" s="5" t="n">
        <v>3</v>
      </c>
    </row>
    <row r="10" ht="26" customHeight="1">
      <c r="B10" s="3" t="inlineStr">
        <is>
          <t>2.  RESUMEN GENERAL DEL MES</t>
        </is>
      </c>
    </row>
    <row r="11" ht="22" customHeight="1">
      <c r="B11" s="4" t="inlineStr">
        <is>
          <t>Entrenos PROGRAMADOS:</t>
        </is>
      </c>
      <c r="C11" s="5" t="n">
        <v>24</v>
      </c>
      <c r="E11" s="4" t="inlineStr">
        <is>
          <t>Entrenos COMPLETADOS:</t>
        </is>
      </c>
      <c r="F11" s="5" t="n">
        <v>14</v>
      </c>
    </row>
    <row r="12" ht="22" customHeight="1">
      <c r="B12" s="4" t="inlineStr">
        <is>
          <t>Kilómetros TOTALES (km):</t>
        </is>
      </c>
      <c r="C12" s="5" t="n">
        <v>64.7</v>
      </c>
      <c r="E12" s="4" t="inlineStr">
        <is>
          <t>Desnivel acumulado (m):</t>
        </is>
      </c>
      <c r="F12" s="5" t="n">
        <v>280</v>
      </c>
    </row>
    <row r="13" ht="22" customHeight="1">
      <c r="B13" s="4" t="inlineStr">
        <is>
          <t>Horas totales (HH:MM:SS):</t>
        </is>
      </c>
      <c r="C13" s="5" t="inlineStr">
        <is>
          <t>11:45:36</t>
        </is>
      </c>
      <c r="E13" s="4" t="inlineStr">
        <is>
          <t>Rodaje más largo del mes (km):</t>
        </is>
      </c>
      <c r="F13" s="5" t="n">
        <v>14.2</v>
      </c>
    </row>
    <row r="14" ht="18" customHeight="1">
      <c r="B14" s="6" t="inlineStr">
        <is>
          <t>Las horas se introducen en formato texto HH:MM:SS (ej: 11:45:36).</t>
        </is>
      </c>
    </row>
    <row r="16" ht="26" customHeight="1">
      <c r="B16" s="3" t="inlineStr">
        <is>
          <t>3.  DATOS DEL MES ANTERIOR (para comparación)</t>
        </is>
      </c>
    </row>
    <row r="17" ht="22" customHeight="1">
      <c r="B17" s="4" t="inlineStr">
        <is>
          <t>Distancia mes anterior (km):</t>
        </is>
      </c>
      <c r="C17" s="5" t="n">
        <v>77.09999999999999</v>
      </c>
      <c r="E17" s="4" t="inlineStr">
        <is>
          <t>Tiempo mes anterior (HH:MM:SS):</t>
        </is>
      </c>
      <c r="F17" s="5" t="inlineStr">
        <is>
          <t>9:19:55</t>
        </is>
      </c>
    </row>
    <row r="18" ht="22" customHeight="1">
      <c r="B18" s="4" t="inlineStr">
        <is>
          <t>Ritmo medio mes anterior (MM:SS):</t>
        </is>
      </c>
      <c r="C18" s="5" t="inlineStr">
        <is>
          <t>07:16</t>
        </is>
      </c>
      <c r="E18" s="4" t="inlineStr">
        <is>
          <t>Rodaje más largo mes anterior (km):</t>
        </is>
      </c>
      <c r="F18" s="5" t="n">
        <v>42.8</v>
      </c>
    </row>
    <row r="19" ht="22" customHeight="1">
      <c r="B19" s="4" t="inlineStr">
        <is>
          <t>Ritmo medio mes actual (MM:SS):</t>
        </is>
      </c>
      <c r="C19" s="5" t="inlineStr">
        <is>
          <t>05:11</t>
        </is>
      </c>
    </row>
    <row r="21" ht="26" customHeight="1">
      <c r="B21" s="3" t="inlineStr">
        <is>
          <t>4.  KILÓMETROS Y HORAS POR SEMANA</t>
        </is>
      </c>
    </row>
    <row r="22" ht="24" customHeight="1">
      <c r="B22" s="7" t="inlineStr">
        <is>
          <t>SEMANA</t>
        </is>
      </c>
      <c r="C22" s="7" t="inlineStr">
        <is>
          <t>KILÓMETROS</t>
        </is>
      </c>
      <c r="E22" s="7" t="inlineStr">
        <is>
          <t>SEMANA</t>
        </is>
      </c>
      <c r="F22" s="7" t="inlineStr">
        <is>
          <t>HORAS (HH:MM:SS)</t>
        </is>
      </c>
    </row>
    <row r="23" ht="20" customHeight="1">
      <c r="B23" s="8" t="inlineStr">
        <is>
          <t>S 1 (2 a 8)</t>
        </is>
      </c>
      <c r="C23" s="5" t="n">
        <v>24.7</v>
      </c>
      <c r="E23" s="8" t="inlineStr">
        <is>
          <t>S 1 (2 a 8)</t>
        </is>
      </c>
      <c r="F23" s="5" t="inlineStr">
        <is>
          <t>4:49:32</t>
        </is>
      </c>
    </row>
    <row r="24" ht="20" customHeight="1">
      <c r="B24" s="8" t="inlineStr">
        <is>
          <t>S 2 (9 a 15)</t>
        </is>
      </c>
      <c r="C24" s="5" t="n">
        <v>29.2</v>
      </c>
      <c r="E24" s="8" t="inlineStr">
        <is>
          <t>S 2 (9 a 15)</t>
        </is>
      </c>
      <c r="F24" s="5" t="inlineStr">
        <is>
          <t>4:55:00</t>
        </is>
      </c>
    </row>
    <row r="25" ht="20" customHeight="1">
      <c r="B25" s="8" t="inlineStr">
        <is>
          <t>S 3 (16 a 22)</t>
        </is>
      </c>
      <c r="C25" s="5" t="n">
        <v>10.8</v>
      </c>
      <c r="E25" s="8" t="inlineStr">
        <is>
          <t>S 3 (16 a 22)</t>
        </is>
      </c>
      <c r="F25" s="5" t="inlineStr">
        <is>
          <t>1:05:00</t>
        </is>
      </c>
    </row>
    <row r="26" ht="20" customHeight="1">
      <c r="B26" s="8" t="inlineStr">
        <is>
          <t>S 4 (23 a 29)</t>
        </is>
      </c>
      <c r="C26" s="5" t="n">
        <v>0</v>
      </c>
      <c r="E26" s="8" t="inlineStr">
        <is>
          <t>S 4 (23 a 29)</t>
        </is>
      </c>
      <c r="F26" s="5" t="inlineStr">
        <is>
          <t>0:55:00</t>
        </is>
      </c>
    </row>
    <row r="27" ht="20" customHeight="1">
      <c r="B27" s="8" t="inlineStr">
        <is>
          <t>S 5 (30-fin)</t>
        </is>
      </c>
      <c r="C27" s="5" t="n">
        <v>0</v>
      </c>
      <c r="E27" s="8" t="inlineStr">
        <is>
          <t>S 5 (30-fin)</t>
        </is>
      </c>
      <c r="F27" s="5" t="inlineStr">
        <is>
          <t>0:00:00</t>
        </is>
      </c>
    </row>
    <row r="28" ht="18" customHeight="1">
      <c r="B28" s="6" t="inlineStr">
        <is>
          <t>La S5 solo se usa cuando el mes tiene 5 semanas parciales (rellena con 0 si no aplica).</t>
        </is>
      </c>
    </row>
    <row r="30" ht="26" customHeight="1">
      <c r="B30" s="3" t="inlineStr">
        <is>
          <t>5.  TIEMPO EN ZONAS DE VELOCIDAD (en %)</t>
        </is>
      </c>
    </row>
    <row r="31" ht="22" customHeight="1">
      <c r="B31" s="7" t="inlineStr">
        <is>
          <t>ZONA</t>
        </is>
      </c>
      <c r="C31" s="7" t="inlineStr">
        <is>
          <t>% TIEMPO</t>
        </is>
      </c>
      <c r="E31" s="7" t="inlineStr">
        <is>
          <t>ZONA</t>
        </is>
      </c>
      <c r="F31" s="7" t="inlineStr">
        <is>
          <t>% TIEMPO</t>
        </is>
      </c>
    </row>
    <row r="32" ht="20" customHeight="1">
      <c r="B32" s="9" t="inlineStr">
        <is>
          <t>Z0</t>
        </is>
      </c>
      <c r="C32" s="10" t="n">
        <v>1.34</v>
      </c>
      <c r="E32" s="9" t="inlineStr">
        <is>
          <t>Z3</t>
        </is>
      </c>
      <c r="F32" s="10" t="n">
        <v>3.12</v>
      </c>
    </row>
    <row r="33" ht="20" customHeight="1">
      <c r="B33" s="9" t="inlineStr">
        <is>
          <t>Z1</t>
        </is>
      </c>
      <c r="C33" s="10" t="n">
        <v>34.3</v>
      </c>
      <c r="E33" s="9" t="inlineStr">
        <is>
          <t>Z3+</t>
        </is>
      </c>
      <c r="F33" s="10" t="n">
        <v>1.47</v>
      </c>
    </row>
    <row r="34" ht="20" customHeight="1">
      <c r="B34" s="9" t="inlineStr">
        <is>
          <t>Z1+</t>
        </is>
      </c>
      <c r="C34" s="10" t="n">
        <v>44.7</v>
      </c>
      <c r="E34" s="9" t="inlineStr">
        <is>
          <t>Z4</t>
        </is>
      </c>
      <c r="F34" s="10" t="n">
        <v>0.23</v>
      </c>
    </row>
    <row r="35" ht="20" customHeight="1">
      <c r="B35" s="9" t="inlineStr">
        <is>
          <t>Z2</t>
        </is>
      </c>
      <c r="C35" s="10" t="n">
        <v>13.8</v>
      </c>
      <c r="E35" s="9" t="inlineStr">
        <is>
          <t>Z5</t>
        </is>
      </c>
      <c r="F35" s="10" t="n">
        <v>1.08</v>
      </c>
    </row>
    <row r="36" ht="22" customHeight="1">
      <c r="B36" s="11" t="inlineStr">
        <is>
          <t>TOTAL (debe ser ≈ 100):</t>
        </is>
      </c>
      <c r="C36" s="12">
        <f>SUM(C32:C35)+SUM(F32:F35)</f>
        <v/>
      </c>
      <c r="D36" s="6" t="inlineStr">
        <is>
          <t>Si no suma ≈100, revisa los porcentajes</t>
        </is>
      </c>
    </row>
    <row r="38" ht="26" customHeight="1">
      <c r="B38" s="3" t="inlineStr">
        <is>
          <t>6.  TIEMPO EN ZONAS DE FRECUENCIA CARDIACA (en %)</t>
        </is>
      </c>
    </row>
    <row r="39" ht="22" customHeight="1">
      <c r="B39" s="7" t="inlineStr">
        <is>
          <t>ZONA</t>
        </is>
      </c>
      <c r="C39" s="7" t="inlineStr">
        <is>
          <t>% TIEMPO</t>
        </is>
      </c>
      <c r="E39" s="7" t="inlineStr">
        <is>
          <t>ZONA</t>
        </is>
      </c>
      <c r="F39" s="7" t="inlineStr">
        <is>
          <t>% TIEMPO</t>
        </is>
      </c>
    </row>
    <row r="40" ht="20" customHeight="1">
      <c r="B40" s="9" t="inlineStr">
        <is>
          <t>Z0</t>
        </is>
      </c>
      <c r="C40" s="10" t="n">
        <v>1.54</v>
      </c>
      <c r="E40" s="9" t="inlineStr">
        <is>
          <t>Z3</t>
        </is>
      </c>
      <c r="F40" s="10" t="n">
        <v>13.9</v>
      </c>
    </row>
    <row r="41" ht="20" customHeight="1">
      <c r="B41" s="9" t="inlineStr">
        <is>
          <t>Z1</t>
        </is>
      </c>
      <c r="C41" s="10" t="n">
        <v>4.21</v>
      </c>
      <c r="E41" s="9" t="inlineStr">
        <is>
          <t>Z3+</t>
        </is>
      </c>
      <c r="F41" s="10" t="n">
        <v>0</v>
      </c>
    </row>
    <row r="42" ht="20" customHeight="1">
      <c r="B42" s="9" t="inlineStr">
        <is>
          <t>Z1+</t>
        </is>
      </c>
      <c r="C42" s="10" t="n">
        <v>6.9</v>
      </c>
      <c r="E42" s="9" t="inlineStr">
        <is>
          <t>Z4</t>
        </is>
      </c>
      <c r="F42" s="10" t="n">
        <v>0</v>
      </c>
    </row>
    <row r="43" ht="20" customHeight="1">
      <c r="B43" s="9" t="inlineStr">
        <is>
          <t>Z2</t>
        </is>
      </c>
      <c r="C43" s="10" t="n">
        <v>18.6</v>
      </c>
      <c r="E43" s="9" t="inlineStr">
        <is>
          <t>Z5</t>
        </is>
      </c>
      <c r="F43" s="10" t="n">
        <v>0</v>
      </c>
    </row>
    <row r="44" ht="22" customHeight="1">
      <c r="B44" s="11" t="inlineStr">
        <is>
          <t>TOTAL (debe ser ≈ 100):</t>
        </is>
      </c>
      <c r="C44" s="12">
        <f>SUM(C40:C43)+SUM(F40:F43)</f>
        <v/>
      </c>
      <c r="D44" s="6" t="inlineStr">
        <is>
          <t>Si no suma ≈100, revisa los porcentajes</t>
        </is>
      </c>
    </row>
    <row r="46" ht="26" customHeight="1">
      <c r="B46" s="3" t="inlineStr">
        <is>
          <t>7.  COMENTARIOS DEL ENTRENADOR</t>
        </is>
      </c>
    </row>
    <row r="47" ht="20" customHeight="1">
      <c r="B47" s="4" t="inlineStr">
        <is>
          <t>Resumen del mes:</t>
        </is>
      </c>
    </row>
    <row r="48" ht="22" customHeight="1">
      <c r="B48" s="13" t="inlineStr">
        <is>
          <t>Cerramos un mes de Marzo un tanto complicado, donde no terminamos de encontrar el punto en cuanto a situaciones personales, lesiones y demás. Llegados a este punto, para mí es muy importante que me des feedback de cómo te vas sintiendo y cómo se va desarrollando todo. Me encanta que cuando las cosas van bien, me des ese feedback que la realidad es que regularmente ha sido así, pero ahora que todo está un tanto irregular, cobra mucho más sentido que me expreses todo para buscar una solución, porque de lo contrario, vamos dando "palos de ciego" como aquél que dice. Ánimo con todo y lo dicho, sabes que siempre estoy disponible para ti y mi objetivo siempre es brindarte toda la ayuda que necesites en cualquier momento.</t>
        </is>
      </c>
    </row>
    <row r="49" ht="22" customHeight="1"/>
    <row r="50" ht="22" customHeight="1"/>
    <row r="51" ht="22" customHeight="1"/>
    <row r="52" ht="22" customHeight="1"/>
    <row r="53" ht="22" customHeight="1"/>
    <row r="55" ht="20" customHeight="1">
      <c r="B55" s="4" t="inlineStr">
        <is>
          <t>Próximos pasos / objetivos del mes que viene:</t>
        </is>
      </c>
    </row>
    <row r="56" ht="22" customHeight="1">
      <c r="B56" s="13" t="inlineStr">
        <is>
          <t>A pesar de que llevemos ya más de la mitad del mes, sé que no está siendo fácil, pero confío en que poco a poco vayamos remontando esta situación. No quiero que sigamos recayendo una y otra vez en lo mismo y como te digo, sigo insistiendo en que el feedback que me transmitas es esencial para seguir progresando y buscando soluciones de cara al futuro. Ánimo con ello Jaime y a seguir con todo.</t>
        </is>
      </c>
    </row>
    <row r="57" ht="22" customHeight="1"/>
    <row r="58" ht="22" customHeight="1"/>
    <row r="59" ht="22" customHeight="1"/>
    <row r="60" ht="22" customHeight="1"/>
    <row r="61" ht="22" customHeight="1"/>
    <row r="63" ht="26" customHeight="1">
      <c r="B63" s="3" t="inlineStr">
        <is>
          <t>8.  HISTÓRICO ANUAL — KM POR MES</t>
        </is>
      </c>
    </row>
    <row r="64" ht="22" customHeight="1">
      <c r="B64" s="7" t="inlineStr">
        <is>
          <t>MES</t>
        </is>
      </c>
      <c r="C64" s="7" t="inlineStr">
        <is>
          <t>KM TOTALES</t>
        </is>
      </c>
      <c r="E64" s="7" t="inlineStr">
        <is>
          <t>MES</t>
        </is>
      </c>
      <c r="F64" s="7" t="inlineStr">
        <is>
          <t>KM TOTALES</t>
        </is>
      </c>
    </row>
    <row r="65" ht="20" customHeight="1">
      <c r="B65" s="9" t="inlineStr">
        <is>
          <t>ENERO</t>
        </is>
      </c>
      <c r="C65" s="14" t="n">
        <v>226</v>
      </c>
      <c r="E65" s="9" t="inlineStr">
        <is>
          <t>JULIO</t>
        </is>
      </c>
      <c r="F65" s="14" t="n">
        <v>0</v>
      </c>
    </row>
    <row r="66" ht="20" customHeight="1">
      <c r="B66" s="9" t="inlineStr">
        <is>
          <t>FEBRERO</t>
        </is>
      </c>
      <c r="C66" s="14" t="n">
        <v>77.09999999999999</v>
      </c>
      <c r="E66" s="9" t="inlineStr">
        <is>
          <t>AGOSTO</t>
        </is>
      </c>
      <c r="F66" s="14" t="n">
        <v>0</v>
      </c>
    </row>
    <row r="67" ht="20" customHeight="1">
      <c r="B67" s="9" t="inlineStr">
        <is>
          <t>MARZO</t>
        </is>
      </c>
      <c r="C67" s="14" t="n">
        <v>64.7</v>
      </c>
      <c r="E67" s="9" t="inlineStr">
        <is>
          <t>SEPTIEMBRE</t>
        </is>
      </c>
      <c r="F67" s="14" t="n">
        <v>0</v>
      </c>
    </row>
    <row r="68" ht="20" customHeight="1">
      <c r="B68" s="9" t="inlineStr">
        <is>
          <t>ABRIL</t>
        </is>
      </c>
      <c r="C68" s="14" t="n">
        <v>0</v>
      </c>
      <c r="E68" s="9" t="inlineStr">
        <is>
          <t>OCTUBRE</t>
        </is>
      </c>
      <c r="F68" s="14" t="n">
        <v>0</v>
      </c>
    </row>
    <row r="69" ht="20" customHeight="1">
      <c r="B69" s="9" t="inlineStr">
        <is>
          <t>MAYO</t>
        </is>
      </c>
      <c r="C69" s="14" t="n">
        <v>0</v>
      </c>
      <c r="E69" s="9" t="inlineStr">
        <is>
          <t>NOVIEMBRE</t>
        </is>
      </c>
      <c r="F69" s="14" t="n">
        <v>0</v>
      </c>
    </row>
    <row r="70" ht="20" customHeight="1">
      <c r="B70" s="9" t="inlineStr">
        <is>
          <t>JUNIO</t>
        </is>
      </c>
      <c r="C70" s="14" t="n">
        <v>0</v>
      </c>
      <c r="E70" s="9" t="inlineStr">
        <is>
          <t>DICIEMBRE</t>
        </is>
      </c>
      <c r="F70" s="14" t="n">
        <v>0</v>
      </c>
    </row>
    <row r="71" ht="18" customHeight="1">
      <c r="B71" s="6" t="inlineStr">
        <is>
          <t>Pon 0 en los meses que aún no han ocurrido. Cuando completes un mes, recuerda actualizar también esta tabla.</t>
        </is>
      </c>
    </row>
    <row r="73" ht="26" customHeight="1">
      <c r="B73" s="15" t="inlineStr">
        <is>
          <t>Una vez completados los datos, ve a las hojas «INFORME MENSUAL» y «RESUMEN ANUAL» y exporta a PDF.</t>
        </is>
      </c>
    </row>
  </sheetData>
  <mergeCells count="18">
    <mergeCell ref="B21:F21"/>
    <mergeCell ref="B30:F30"/>
    <mergeCell ref="B73:F73"/>
    <mergeCell ref="B38:F38"/>
    <mergeCell ref="B2:F2"/>
    <mergeCell ref="B16:F16"/>
    <mergeCell ref="B48:F53"/>
    <mergeCell ref="B10:F10"/>
    <mergeCell ref="B28:F28"/>
    <mergeCell ref="B3:F3"/>
    <mergeCell ref="B5:F5"/>
    <mergeCell ref="D36:F36"/>
    <mergeCell ref="B63:F63"/>
    <mergeCell ref="D44:F44"/>
    <mergeCell ref="B46:F46"/>
    <mergeCell ref="B71:F71"/>
    <mergeCell ref="B14:F14"/>
    <mergeCell ref="B56:F6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M54"/>
  <sheetViews>
    <sheetView showGridLines="0" zoomScale="90" workbookViewId="0">
      <selection activeCell="A1" sqref="A1"/>
    </sheetView>
  </sheetViews>
  <sheetFormatPr baseColWidth="8" defaultRowHeight="15"/>
  <cols>
    <col width="1.5"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5" customWidth="1" min="14" max="14"/>
  </cols>
  <sheetData>
    <row r="1" ht="6" customHeight="1"/>
    <row r="2" ht="50" customHeight="1">
      <c r="B2" s="16" t="inlineStr">
        <is>
          <t>MÉTODO LP TRAINING</t>
        </is>
      </c>
    </row>
    <row r="3" ht="22" customHeight="1">
      <c r="B3" s="17" t="inlineStr">
        <is>
          <t>Lorenzo Pla  ·  Entrenador de corredores online  ·  @LP.RTRAINING_</t>
        </is>
      </c>
    </row>
    <row r="4" ht="8" customHeight="1"/>
    <row r="5" ht="36" customHeight="1">
      <c r="B5" s="18">
        <f>CONCATENATE("REPORTE MENSUAL  ·  ", INPUTS!F6, " ", INPUTS!F7)</f>
        <v/>
      </c>
    </row>
    <row r="6" ht="8" customHeight="1"/>
    <row r="7" ht="22" customHeight="1">
      <c r="B7" s="19">
        <f>CONCATENATE("ATLETA: ", INPUTS!C6)</f>
        <v/>
      </c>
      <c r="F7" s="19">
        <f>CONCATENATE("OBJETIVO: ", INPUTS!C7)</f>
        <v/>
      </c>
      <c r="J7" s="19">
        <f>CONCATENATE("INICIO PLAN: ", INPUTS!C8)</f>
        <v/>
      </c>
    </row>
    <row r="8" ht="8" customHeight="1"/>
    <row r="9" ht="22" customHeight="1">
      <c r="B9" s="20" t="inlineStr">
        <is>
          <t>ADHERENCIA AL PLAN</t>
        </is>
      </c>
      <c r="E9" s="20" t="inlineStr">
        <is>
          <t>KM TOTALES</t>
        </is>
      </c>
      <c r="H9" s="20" t="inlineStr">
        <is>
          <t>HORAS ENTRENADAS</t>
        </is>
      </c>
      <c r="K9" s="20" t="inlineStr">
        <is>
          <t>DESNIVEL ACUMULADO</t>
        </is>
      </c>
    </row>
    <row r="10" ht="38" customHeight="1">
      <c r="B10" s="21">
        <f>IFERROR(INPUTS!F11/INPUTS!C11,0)</f>
        <v/>
      </c>
      <c r="E10" s="22">
        <f>INPUTS!C12</f>
        <v/>
      </c>
      <c r="H10" s="23">
        <f>INPUTS!C13</f>
        <v/>
      </c>
      <c r="K10" s="23">
        <f>CONCATENATE(INPUTS!F12," m")</f>
        <v/>
      </c>
    </row>
    <row r="11" ht="18" customHeight="1">
      <c r="B11" s="24">
        <f>CONCATENATE(INPUTS!F11," / ",INPUTS!C11," entrenos")</f>
        <v/>
      </c>
      <c r="E11" s="24" t="inlineStr">
        <is>
          <t>completados este mes</t>
        </is>
      </c>
      <c r="H11" s="24" t="inlineStr">
        <is>
          <t>tiempo total acumulado</t>
        </is>
      </c>
      <c r="K11" s="24" t="inlineStr">
        <is>
          <t>metros positivos</t>
        </is>
      </c>
    </row>
    <row r="12" ht="12" customHeight="1"/>
    <row r="13" ht="28" customHeight="1">
      <c r="B13" s="3" t="inlineStr">
        <is>
          <t>EVOLUCIÓN DEL RENDIMIENTO vs MES ANTERIOR</t>
        </is>
      </c>
    </row>
    <row r="14" ht="24" customHeight="1">
      <c r="B14" s="25" t="inlineStr">
        <is>
          <t>MÉTRICA</t>
        </is>
      </c>
      <c r="E14" s="25" t="inlineStr">
        <is>
          <t>MES ANTERIOR</t>
        </is>
      </c>
      <c r="G14" s="25" t="inlineStr">
        <is>
          <t>MES ACTUAL</t>
        </is>
      </c>
      <c r="I14" s="25" t="inlineStr">
        <is>
          <t>VARIACIÓN</t>
        </is>
      </c>
      <c r="K14" s="25" t="inlineStr">
        <is>
          <t>VARIACIÓN %</t>
        </is>
      </c>
    </row>
    <row r="15" ht="24" customHeight="1">
      <c r="B15" s="26" t="inlineStr">
        <is>
          <t>Distancia Completada (km)</t>
        </is>
      </c>
      <c r="E15" s="27">
        <f>INPUTS!C17</f>
        <v/>
      </c>
      <c r="G15" s="27">
        <f>INPUTS!C12</f>
        <v/>
      </c>
      <c r="I15" s="28">
        <f>IFERROR(G15-E15,"—")</f>
        <v/>
      </c>
      <c r="K15" s="29">
        <f>IFERROR((G15-E15)/E15,"—")</f>
        <v/>
      </c>
    </row>
    <row r="16" ht="24" customHeight="1">
      <c r="B16" s="30" t="inlineStr">
        <is>
          <t>Tiempo Total</t>
        </is>
      </c>
      <c r="E16" s="31">
        <f>INPUTS!F17</f>
        <v/>
      </c>
      <c r="G16" s="31">
        <f>INPUTS!C13</f>
        <v/>
      </c>
      <c r="I16" s="32">
        <f>IFERROR(TEXT(ABS(TIMEVALUE(G16)-TIMEVALUE(E16)),IF(TIMEVALUE(G16)&gt;=TIMEVALUE(E16),"+[h]:mm:ss","-[h]:mm:ss")),"—")</f>
        <v/>
      </c>
      <c r="K16" s="33">
        <f>IFERROR((TIMEVALUE(G16)-TIMEVALUE(E16))/TIMEVALUE(E16),"—")</f>
        <v/>
      </c>
    </row>
    <row r="17" ht="24" customHeight="1">
      <c r="B17" s="26" t="inlineStr">
        <is>
          <t>Ritmo Medio (min/km)</t>
        </is>
      </c>
      <c r="E17" s="34">
        <f>INPUTS!C18</f>
        <v/>
      </c>
      <c r="G17" s="34">
        <f>INPUTS!C19</f>
        <v/>
      </c>
      <c r="I17" s="35">
        <f>IFERROR(TEXT(ABS(TIMEVALUE("0:"&amp;G17)-TIMEVALUE("0:"&amp;E17)),IF(TIMEVALUE("0:"&amp;G17)&gt;=TIMEVALUE("0:"&amp;E17),"+m:ss","-m:ss")),"—")</f>
        <v/>
      </c>
      <c r="K17" s="29">
        <f>IFERROR((TIMEVALUE("0:"&amp;G17)-TIMEVALUE("0:"&amp;E17))/TIMEVALUE("0:"&amp;E17),"—")</f>
        <v/>
      </c>
    </row>
    <row r="18" ht="24" customHeight="1">
      <c r="B18" s="30" t="inlineStr">
        <is>
          <t>Rodaje más Largo (km)</t>
        </is>
      </c>
      <c r="E18" s="36">
        <f>INPUTS!F18</f>
        <v/>
      </c>
      <c r="G18" s="36">
        <f>INPUTS!F13</f>
        <v/>
      </c>
      <c r="I18" s="37">
        <f>IFERROR(G18-E18,"—")</f>
        <v/>
      </c>
      <c r="K18" s="33">
        <f>IFERROR((G18-E18)/E18,"—")</f>
        <v/>
      </c>
    </row>
    <row r="20" ht="28" customHeight="1">
      <c r="B20" s="38" t="inlineStr">
        <is>
          <t>KILÓMETROS POR SEMANA</t>
        </is>
      </c>
      <c r="H20" s="38" t="inlineStr">
        <is>
          <t>HORAS POR SEMANA</t>
        </is>
      </c>
    </row>
    <row r="21" ht="14" customHeight="1"/>
    <row r="22" ht="14" customHeight="1"/>
    <row r="23" ht="14" customHeight="1"/>
    <row r="24" ht="14" customHeight="1"/>
    <row r="25" ht="14" customHeight="1"/>
    <row r="26" ht="14" customHeight="1"/>
    <row r="27" ht="14" customHeight="1"/>
    <row r="28" ht="14" customHeight="1"/>
    <row r="29" ht="14" customHeight="1"/>
    <row r="30" ht="14" customHeight="1"/>
    <row r="31" ht="14" customHeight="1"/>
    <row r="32" ht="14" customHeight="1"/>
    <row r="33" ht="14" customHeight="1"/>
    <row r="34" ht="14" customHeight="1"/>
    <row r="35" ht="14" customHeight="1"/>
    <row r="37" ht="28" customHeight="1">
      <c r="B37" s="38" t="inlineStr">
        <is>
          <t>TIEMPO EN ZONAS DE VELOCIDAD (%)</t>
        </is>
      </c>
      <c r="H37" s="38" t="inlineStr">
        <is>
          <t>TIEMPO EN ZONAS DE FRECUENCIA CARDIACA (%)</t>
        </is>
      </c>
    </row>
    <row r="38" ht="14" customHeight="1"/>
    <row r="39" ht="14" customHeight="1"/>
    <row r="40" ht="14" customHeight="1"/>
    <row r="41" ht="14" customHeight="1"/>
    <row r="42" ht="14" customHeight="1"/>
    <row r="43" ht="14" customHeight="1"/>
    <row r="44" ht="14" customHeight="1"/>
    <row r="45" ht="14" customHeight="1"/>
    <row r="46" ht="14" customHeight="1"/>
    <row r="47" ht="14" customHeight="1"/>
    <row r="48" ht="14" customHeight="1"/>
    <row r="49" ht="14" customHeight="1"/>
    <row r="50" ht="14" customHeight="1"/>
    <row r="51" ht="14" customHeight="1"/>
    <row r="52" ht="14" customHeight="1"/>
    <row r="53" ht="8" customHeight="1"/>
    <row r="54" ht="22" customHeight="1">
      <c r="B54" s="39" t="inlineStr">
        <is>
          <t>PROFORMA DEL INFORME:  Lorenzo Pla Estébanez  ·  Método LP Training</t>
        </is>
      </c>
    </row>
  </sheetData>
  <mergeCells count="49">
    <mergeCell ref="B11:D11"/>
    <mergeCell ref="B2:M2"/>
    <mergeCell ref="E10:G10"/>
    <mergeCell ref="B14:D14"/>
    <mergeCell ref="I15:J15"/>
    <mergeCell ref="B17:D17"/>
    <mergeCell ref="E9:G9"/>
    <mergeCell ref="E14:F14"/>
    <mergeCell ref="B13:M13"/>
    <mergeCell ref="E17:F17"/>
    <mergeCell ref="H11:J11"/>
    <mergeCell ref="G17:H17"/>
    <mergeCell ref="B10:D10"/>
    <mergeCell ref="E11:G11"/>
    <mergeCell ref="I16:J16"/>
    <mergeCell ref="B37:G37"/>
    <mergeCell ref="K14:M14"/>
    <mergeCell ref="B9:D9"/>
    <mergeCell ref="B7:E7"/>
    <mergeCell ref="H37:M37"/>
    <mergeCell ref="K17:M17"/>
    <mergeCell ref="B15:D15"/>
    <mergeCell ref="G18:H18"/>
    <mergeCell ref="I18:J18"/>
    <mergeCell ref="B20:G20"/>
    <mergeCell ref="K10:M10"/>
    <mergeCell ref="E15:F15"/>
    <mergeCell ref="B5:M5"/>
    <mergeCell ref="F7:I7"/>
    <mergeCell ref="G15:H15"/>
    <mergeCell ref="G14:H14"/>
    <mergeCell ref="K18:M18"/>
    <mergeCell ref="I14:J14"/>
    <mergeCell ref="K16:M16"/>
    <mergeCell ref="I17:J17"/>
    <mergeCell ref="H20:M20"/>
    <mergeCell ref="B16:D16"/>
    <mergeCell ref="K15:M15"/>
    <mergeCell ref="B54:M54"/>
    <mergeCell ref="H10:J10"/>
    <mergeCell ref="E16:F16"/>
    <mergeCell ref="B3:M3"/>
    <mergeCell ref="K9:M9"/>
    <mergeCell ref="G16:H16"/>
    <mergeCell ref="B18:D18"/>
    <mergeCell ref="H9:J9"/>
    <mergeCell ref="J7:M7"/>
    <mergeCell ref="E18:F18"/>
    <mergeCell ref="K11:M11"/>
  </mergeCells>
  <printOptions horizontalCentered="1" verticalCentered="1"/>
  <pageMargins left="0.1" right="0.1" top="0.1" bottom="0.1" header="0" footer="0"/>
  <pageSetup orientation="portrait" paperSize="9"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B2:M54"/>
  <sheetViews>
    <sheetView showGridLines="0" zoomScale="90" workbookViewId="0">
      <selection activeCell="A1" sqref="A1"/>
    </sheetView>
  </sheetViews>
  <sheetFormatPr baseColWidth="8" defaultRowHeight="15"/>
  <cols>
    <col width="1.5"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5" customWidth="1" min="14" max="14"/>
  </cols>
  <sheetData>
    <row r="1" ht="6" customHeight="1"/>
    <row r="2" ht="50" customHeight="1">
      <c r="B2" s="16" t="inlineStr">
        <is>
          <t>MÉTODO LP TRAINING</t>
        </is>
      </c>
    </row>
    <row r="3" ht="22" customHeight="1">
      <c r="B3" s="17" t="inlineStr">
        <is>
          <t>Lorenzo Pla  ·  Entrenador de corredores online  ·  @LP.RTRAINING_</t>
        </is>
      </c>
    </row>
    <row r="4" ht="8" customHeight="1"/>
    <row r="5" ht="36" customHeight="1">
      <c r="B5" s="18">
        <f>CONCATENATE("RESUMEN ANUAL  ·  ", INPUTS!F7)</f>
        <v/>
      </c>
    </row>
    <row r="6" ht="8" customHeight="1"/>
    <row r="7" ht="22" customHeight="1">
      <c r="B7" s="40">
        <f>CONCATENATE("ATLETA: ", INPUTS!C6, "   ·   OBJETIVO: ", INPUTS!C7, "   ·   INICIO PLAN: ", INPUTS!C8)</f>
        <v/>
      </c>
    </row>
    <row r="8" ht="12" customHeight="1"/>
    <row r="9" ht="22" customHeight="1">
      <c r="B9" s="20" t="inlineStr">
        <is>
          <t>KM ACUMULADOS DEL AÑO</t>
        </is>
      </c>
      <c r="F9" s="20" t="inlineStr">
        <is>
          <t>MEDIA MENSUAL (KM)</t>
        </is>
      </c>
      <c r="J9" s="20" t="inlineStr">
        <is>
          <t>MEJOR MES (KM)</t>
        </is>
      </c>
    </row>
    <row r="10" ht="38" customHeight="1">
      <c r="B10" s="22">
        <f>SUM(_chart_data!J2:J13)</f>
        <v/>
      </c>
      <c r="F10" s="22">
        <f>IFERROR(SUMIF(_chart_data!J2:J13,"&gt;0")/COUNTIF(_chart_data!J2:J13,"&gt;0"),0)</f>
        <v/>
      </c>
      <c r="J10" s="22">
        <f>MAX(_chart_data!J2:J13)</f>
        <v/>
      </c>
    </row>
    <row r="11" ht="18" customHeight="1">
      <c r="B11" s="24" t="inlineStr">
        <is>
          <t>acumulado en el año</t>
        </is>
      </c>
      <c r="F11" s="24" t="inlineStr">
        <is>
          <t>de los meses con actividad</t>
        </is>
      </c>
      <c r="J11" s="24" t="inlineStr">
        <is>
          <t>pico de volumen del año</t>
        </is>
      </c>
    </row>
    <row r="12" ht="12" customHeight="1"/>
    <row r="13" ht="28" customHeight="1">
      <c r="B13" s="3" t="inlineStr">
        <is>
          <t>KILÓMETROS TOTALES POR MES</t>
        </is>
      </c>
    </row>
    <row r="14" ht="14" customHeight="1"/>
    <row r="15" ht="14" customHeight="1"/>
    <row r="16" ht="14" customHeight="1"/>
    <row r="17" ht="14" customHeight="1"/>
    <row r="18" ht="14" customHeight="1"/>
    <row r="19" ht="14" customHeight="1"/>
    <row r="20" ht="14" customHeight="1"/>
    <row r="21" ht="14" customHeight="1"/>
    <row r="22" ht="14" customHeight="1"/>
    <row r="23" ht="14" customHeight="1"/>
    <row r="24" ht="14" customHeight="1"/>
    <row r="25" ht="14" customHeight="1"/>
    <row r="26" ht="14" customHeight="1"/>
    <row r="27" ht="14" customHeight="1"/>
    <row r="28" ht="14" customHeight="1"/>
    <row r="29" ht="14" customHeight="1"/>
    <row r="30" ht="14" customHeight="1"/>
    <row r="31" ht="14" customHeight="1"/>
    <row r="33" ht="28" customHeight="1">
      <c r="B33" s="3" t="inlineStr">
        <is>
          <t>COMENTARIOS DEL ENTRENADOR</t>
        </is>
      </c>
    </row>
    <row r="34" ht="18" customHeight="1">
      <c r="B34" s="41">
        <f>INPUTS!B48</f>
        <v/>
      </c>
    </row>
    <row r="35" ht="18" customHeight="1"/>
    <row r="36" ht="18" customHeight="1"/>
    <row r="37" ht="18" customHeight="1"/>
    <row r="38" ht="18" customHeight="1"/>
    <row r="39" ht="18" customHeight="1"/>
    <row r="40" ht="18" customHeight="1"/>
    <row r="41" ht="18" customHeight="1"/>
    <row r="43" ht="28" customHeight="1">
      <c r="B43" s="3" t="inlineStr">
        <is>
          <t>PRÓXIMOS PASOS / OBJETIVOS DEL MES QUE VIENE</t>
        </is>
      </c>
    </row>
    <row r="44" ht="18" customHeight="1">
      <c r="B44" s="41">
        <f>INPUTS!B56</f>
        <v/>
      </c>
    </row>
    <row r="45" ht="18" customHeight="1"/>
    <row r="46" ht="18" customHeight="1"/>
    <row r="47" ht="18" customHeight="1"/>
    <row r="48" ht="18" customHeight="1"/>
    <row r="49" ht="18" customHeight="1"/>
    <row r="50" ht="18" customHeight="1"/>
    <row r="51" ht="18" customHeight="1"/>
    <row r="53" ht="8" customHeight="1"/>
    <row r="54" ht="22" customHeight="1">
      <c r="B54" s="39" t="inlineStr">
        <is>
          <t>PROFORMA DEL INFORME:  Lorenzo Pla Estébanez  ·  Método LP Training</t>
        </is>
      </c>
    </row>
  </sheetData>
  <mergeCells count="19">
    <mergeCell ref="B2:M2"/>
    <mergeCell ref="B9:E9"/>
    <mergeCell ref="F9:I9"/>
    <mergeCell ref="B13:M13"/>
    <mergeCell ref="B34:M41"/>
    <mergeCell ref="F11:I11"/>
    <mergeCell ref="F10:I10"/>
    <mergeCell ref="J10:M10"/>
    <mergeCell ref="B33:M33"/>
    <mergeCell ref="B5:M5"/>
    <mergeCell ref="J9:M9"/>
    <mergeCell ref="B11:E11"/>
    <mergeCell ref="B54:M54"/>
    <mergeCell ref="B7:M7"/>
    <mergeCell ref="B3:M3"/>
    <mergeCell ref="J11:M11"/>
    <mergeCell ref="B10:E10"/>
    <mergeCell ref="B43:M43"/>
    <mergeCell ref="B44:M51"/>
  </mergeCells>
  <printOptions horizontalCentered="1" verticalCentered="1"/>
  <pageMargins left="0.1" right="0.1" top="0.1" bottom="0.1" header="0" footer="0"/>
  <pageSetup orientation="portrait" paperSize="9" fitToHeight="1"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Semana</t>
        </is>
      </c>
      <c r="B1" t="inlineStr">
        <is>
          <t>KM</t>
        </is>
      </c>
      <c r="C1" t="inlineStr">
        <is>
          <t>Horas</t>
        </is>
      </c>
      <c r="E1" t="inlineStr">
        <is>
          <t>Zona</t>
        </is>
      </c>
      <c r="F1" t="inlineStr">
        <is>
          <t>Velocidad</t>
        </is>
      </c>
      <c r="G1" t="inlineStr">
        <is>
          <t>FFCC</t>
        </is>
      </c>
      <c r="I1" t="inlineStr">
        <is>
          <t>Mes</t>
        </is>
      </c>
      <c r="J1" t="inlineStr">
        <is>
          <t>KM</t>
        </is>
      </c>
    </row>
    <row r="2">
      <c r="A2">
        <f>INPUTS!B23</f>
        <v/>
      </c>
      <c r="B2">
        <f>INPUTS!C23</f>
        <v/>
      </c>
      <c r="C2" s="42">
        <f>IFERROR(TIMEVALUE(INPUTS!F23)*24,0)</f>
        <v/>
      </c>
      <c r="E2" t="inlineStr">
        <is>
          <t>Z0</t>
        </is>
      </c>
      <c r="F2">
        <f>INPUTS!C32</f>
        <v/>
      </c>
      <c r="G2">
        <f>INPUTS!C40</f>
        <v/>
      </c>
      <c r="I2" t="inlineStr">
        <is>
          <t>ENE</t>
        </is>
      </c>
      <c r="J2">
        <f>INPUTS!C65</f>
        <v/>
      </c>
    </row>
    <row r="3">
      <c r="A3">
        <f>INPUTS!B24</f>
        <v/>
      </c>
      <c r="B3">
        <f>INPUTS!C24</f>
        <v/>
      </c>
      <c r="C3" s="42">
        <f>IFERROR(TIMEVALUE(INPUTS!F24)*24,0)</f>
        <v/>
      </c>
      <c r="E3" t="inlineStr">
        <is>
          <t>Z1</t>
        </is>
      </c>
      <c r="F3">
        <f>INPUTS!C33</f>
        <v/>
      </c>
      <c r="G3">
        <f>INPUTS!C41</f>
        <v/>
      </c>
      <c r="I3" t="inlineStr">
        <is>
          <t>FEB</t>
        </is>
      </c>
      <c r="J3">
        <f>INPUTS!C66</f>
        <v/>
      </c>
    </row>
    <row r="4">
      <c r="A4">
        <f>INPUTS!B25</f>
        <v/>
      </c>
      <c r="B4">
        <f>INPUTS!C25</f>
        <v/>
      </c>
      <c r="C4" s="42">
        <f>IFERROR(TIMEVALUE(INPUTS!F25)*24,0)</f>
        <v/>
      </c>
      <c r="E4" t="inlineStr">
        <is>
          <t>Z1+</t>
        </is>
      </c>
      <c r="F4">
        <f>INPUTS!C34</f>
        <v/>
      </c>
      <c r="G4">
        <f>INPUTS!C42</f>
        <v/>
      </c>
      <c r="I4" t="inlineStr">
        <is>
          <t>MAR</t>
        </is>
      </c>
      <c r="J4">
        <f>INPUTS!C67</f>
        <v/>
      </c>
    </row>
    <row r="5">
      <c r="A5">
        <f>INPUTS!B26</f>
        <v/>
      </c>
      <c r="B5">
        <f>INPUTS!C26</f>
        <v/>
      </c>
      <c r="C5" s="42">
        <f>IFERROR(TIMEVALUE(INPUTS!F26)*24,0)</f>
        <v/>
      </c>
      <c r="E5" t="inlineStr">
        <is>
          <t>Z2</t>
        </is>
      </c>
      <c r="F5">
        <f>INPUTS!C35</f>
        <v/>
      </c>
      <c r="G5">
        <f>INPUTS!C43</f>
        <v/>
      </c>
      <c r="I5" t="inlineStr">
        <is>
          <t>ABR</t>
        </is>
      </c>
      <c r="J5">
        <f>INPUTS!C68</f>
        <v/>
      </c>
    </row>
    <row r="6">
      <c r="A6">
        <f>INPUTS!B27</f>
        <v/>
      </c>
      <c r="B6">
        <f>INPUTS!C27</f>
        <v/>
      </c>
      <c r="C6" s="42">
        <f>IFERROR(TIMEVALUE(INPUTS!F27)*24,0)</f>
        <v/>
      </c>
      <c r="E6" t="inlineStr">
        <is>
          <t>Z3</t>
        </is>
      </c>
      <c r="F6">
        <f>INPUTS!F32</f>
        <v/>
      </c>
      <c r="G6">
        <f>INPUTS!F40</f>
        <v/>
      </c>
      <c r="I6" t="inlineStr">
        <is>
          <t>MAY</t>
        </is>
      </c>
      <c r="J6">
        <f>INPUTS!C69</f>
        <v/>
      </c>
    </row>
    <row r="7">
      <c r="E7" t="inlineStr">
        <is>
          <t>Z3+</t>
        </is>
      </c>
      <c r="F7">
        <f>INPUTS!F33</f>
        <v/>
      </c>
      <c r="G7">
        <f>INPUTS!F41</f>
        <v/>
      </c>
      <c r="I7" t="inlineStr">
        <is>
          <t>JUN</t>
        </is>
      </c>
      <c r="J7">
        <f>INPUTS!C70</f>
        <v/>
      </c>
    </row>
    <row r="8">
      <c r="E8" t="inlineStr">
        <is>
          <t>Z4</t>
        </is>
      </c>
      <c r="F8">
        <f>INPUTS!F34</f>
        <v/>
      </c>
      <c r="G8">
        <f>INPUTS!F42</f>
        <v/>
      </c>
      <c r="I8" t="inlineStr">
        <is>
          <t>JUL</t>
        </is>
      </c>
      <c r="J8">
        <f>INPUTS!F65</f>
        <v/>
      </c>
    </row>
    <row r="9">
      <c r="E9" t="inlineStr">
        <is>
          <t>Z5</t>
        </is>
      </c>
      <c r="F9">
        <f>INPUTS!F35</f>
        <v/>
      </c>
      <c r="G9">
        <f>INPUTS!F43</f>
        <v/>
      </c>
      <c r="I9" t="inlineStr">
        <is>
          <t>AGO</t>
        </is>
      </c>
      <c r="J9">
        <f>INPUTS!F66</f>
        <v/>
      </c>
    </row>
    <row r="10">
      <c r="I10" t="inlineStr">
        <is>
          <t>SEP</t>
        </is>
      </c>
      <c r="J10">
        <f>INPUTS!F67</f>
        <v/>
      </c>
    </row>
    <row r="11">
      <c r="I11" t="inlineStr">
        <is>
          <t>OCT</t>
        </is>
      </c>
      <c r="J11">
        <f>INPUTS!F68</f>
        <v/>
      </c>
    </row>
    <row r="12">
      <c r="I12" t="inlineStr">
        <is>
          <t>NOV</t>
        </is>
      </c>
      <c r="J12">
        <f>INPUTS!F69</f>
        <v/>
      </c>
    </row>
    <row r="13">
      <c r="I13" t="inlineStr">
        <is>
          <t>DIC</t>
        </is>
      </c>
      <c r="J13">
        <f>INPUTS!F70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2026-05-07T07:30:06Z</dcterms:created>
  <dcterms:modified xmlns:dcterms="http://purl.org/dc/terms/" xmlns:xsi="http://www.w3.org/2001/XMLSchema-instance" xsi:type="dcterms:W3CDTF">2026-05-07T07:30:06Z</dcterms:modified>
</cp:coreProperties>
</file>