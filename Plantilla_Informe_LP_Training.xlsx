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3.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xl/drawings/_rels/drawing2.xml.rels" ContentType="application/vnd.openxmlformats-package.relationships+xml"/>
  <Override PartName="/xl/drawings/_rels/drawing1.xml.rels" ContentType="application/vnd.openxmlformats-package.relationship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INPUTS" sheetId="1" state="visible" r:id="rId3"/>
    <sheet name="INFORME MENSUAL" sheetId="2" state="visible" r:id="rId4"/>
    <sheet name="RESUMEN ANUAL" sheetId="3" state="visible" r:id="rId5"/>
    <sheet name="_chart_data" sheetId="4" state="hidden" r:id="rId6"/>
  </sheets>
  <definedNames>
    <definedName function="false" hidden="false" localSheetId="1" name="_xlnm.Print_Area" vbProcedure="false">'INFORME MENSUAL'!$B$1:$M$55</definedName>
    <definedName function="false" hidden="false" localSheetId="2" name="_xlnm.Print_Area" vbProcedure="false">'RESUMEN ANUAL'!$B$1:$M$55</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<sst xmlns="http://schemas.openxmlformats.org/spreadsheetml/2006/main" count="174" uniqueCount="133">
  <si>
    <t xml:space="preserve">HOJA DE ENTRADA DE DATOS  —  MÉTODO LP TRAINING</t>
  </si>
  <si>
    <t xml:space="preserve">Rellena solo las celdas amarillas. Todo lo demás se calcula y se traslada al informe automáticamente.</t>
  </si>
  <si>
    <t xml:space="preserve">1.  DATOS DEL CLIENTE Y MES</t>
  </si>
  <si>
    <t xml:space="preserve">Nombre del cliente:</t>
  </si>
  <si>
    <t xml:space="preserve">JAIME MARTINEZ</t>
  </si>
  <si>
    <t xml:space="preserve">Mes del informe:</t>
  </si>
  <si>
    <t xml:space="preserve">MARZO</t>
  </si>
  <si>
    <t xml:space="preserve">Distancia objetivo:</t>
  </si>
  <si>
    <t xml:space="preserve">MEDIA MARATÓN - ULTRA</t>
  </si>
  <si>
    <t xml:space="preserve">Año:</t>
  </si>
  <si>
    <t xml:space="preserve">Fecha inicio plan:</t>
  </si>
  <si>
    <t xml:space="preserve">28/07/2025</t>
  </si>
  <si>
    <t xml:space="preserve">Número del mes (1-12):</t>
  </si>
  <si>
    <t xml:space="preserve">2.  RESUMEN GENERAL DEL MES</t>
  </si>
  <si>
    <t xml:space="preserve">Entrenos PROGRAMADOS:</t>
  </si>
  <si>
    <t xml:space="preserve">Entrenos COMPLETADOS:</t>
  </si>
  <si>
    <t xml:space="preserve">Kilómetros TOTALES (km):</t>
  </si>
  <si>
    <t xml:space="preserve">Desnivel acumulado (m):</t>
  </si>
  <si>
    <t xml:space="preserve">Horas totales (HH:MM:SS):</t>
  </si>
  <si>
    <t xml:space="preserve">11:45:36</t>
  </si>
  <si>
    <t xml:space="preserve">Rodaje más largo del mes (km):</t>
  </si>
  <si>
    <t xml:space="preserve">Las horas se introducen en formato texto HH:MM:SS (ej: 11:45:36).</t>
  </si>
  <si>
    <t xml:space="preserve">3.  DATOS DEL MES ANTERIOR (para comparación)</t>
  </si>
  <si>
    <t xml:space="preserve">Distancia mes anterior (km):</t>
  </si>
  <si>
    <t xml:space="preserve">Tiempo mes anterior (HH:MM:SS):</t>
  </si>
  <si>
    <t xml:space="preserve">9:19:55</t>
  </si>
  <si>
    <t xml:space="preserve">Ritmo medio mes anterior (MM:SS):</t>
  </si>
  <si>
    <t xml:space="preserve">07:16</t>
  </si>
  <si>
    <t xml:space="preserve">Rodaje más largo mes anterior (km):</t>
  </si>
  <si>
    <t xml:space="preserve">Ritmo medio mes actual (MM:SS):</t>
  </si>
  <si>
    <t xml:space="preserve">05:11</t>
  </si>
  <si>
    <t xml:space="preserve">4.  KILÓMETROS Y HORAS POR SEMANA</t>
  </si>
  <si>
    <t xml:space="preserve">SEMANA</t>
  </si>
  <si>
    <t xml:space="preserve">KILÓMETROS</t>
  </si>
  <si>
    <t xml:space="preserve">HORAS (HH:MM:SS)</t>
  </si>
  <si>
    <t xml:space="preserve">S 1 (2 a 8)</t>
  </si>
  <si>
    <t xml:space="preserve">4:49:32</t>
  </si>
  <si>
    <t xml:space="preserve">S 2 (9 a 15)</t>
  </si>
  <si>
    <t xml:space="preserve">4:55:00</t>
  </si>
  <si>
    <t xml:space="preserve">S 3 (16 a 22)</t>
  </si>
  <si>
    <t xml:space="preserve">1:05:00</t>
  </si>
  <si>
    <t xml:space="preserve">S 4 (23 a 29)</t>
  </si>
  <si>
    <t xml:space="preserve">0:55:00</t>
  </si>
  <si>
    <t xml:space="preserve">S 5 (30-fin)</t>
  </si>
  <si>
    <t xml:space="preserve">0:00:00</t>
  </si>
  <si>
    <t xml:space="preserve">La S5 solo se usa cuando el mes tiene 5 semanas parciales (rellena con 0 si no aplica).</t>
  </si>
  <si>
    <t xml:space="preserve">5.  TIEMPO EN ZONAS DE VELOCIDAD (en %)</t>
  </si>
  <si>
    <t xml:space="preserve">ZONA</t>
  </si>
  <si>
    <t xml:space="preserve">% TIEMPO</t>
  </si>
  <si>
    <t xml:space="preserve">Z0</t>
  </si>
  <si>
    <t xml:space="preserve">Z3</t>
  </si>
  <si>
    <t xml:space="preserve">Z1</t>
  </si>
  <si>
    <t xml:space="preserve">Z3+</t>
  </si>
  <si>
    <t xml:space="preserve">Z1+</t>
  </si>
  <si>
    <t xml:space="preserve">Z4</t>
  </si>
  <si>
    <t xml:space="preserve">Z2</t>
  </si>
  <si>
    <t xml:space="preserve">Z5</t>
  </si>
  <si>
    <t xml:space="preserve">TOTAL (debe ser ≈ 100):</t>
  </si>
  <si>
    <t xml:space="preserve">Si no suma ≈100, revisa los porcentajes</t>
  </si>
  <si>
    <t xml:space="preserve">6.  TIEMPO EN ZONAS DE FRECUENCIA CARDIACA (en %)</t>
  </si>
  <si>
    <t xml:space="preserve">7.  COMENTARIOS DEL ENTRENADOR</t>
  </si>
  <si>
    <t xml:space="preserve">Resumen del mes:</t>
  </si>
  <si>
    <t xml:space="preserve">Cerramos un mes de Marzo un tanto complicado, donde no terminamos de encontrar el punto en cuanto a situaciones personales, lesiones y demás. Llegados a este punto, para mí es muy importante que me des feedback de cómo te vas sintiendo y cómo se va desarrollando todo. Me encanta que cuando las cosas van bien, me des ese feedback que la realidad es que regularmente ha sido así, pero ahora que todo está un tanto irregular, cobra mucho más sentido que me expreses todo para buscar una solución, porque de lo contrario, vamos dando "palos de ciego" como aquél que dice. Ánimo con todo y lo dicho, sabes que siempre estoy disponible para ti y mi objetivo siempre es brindarte toda la ayuda que necesites en cualquier momento.</t>
  </si>
  <si>
    <t xml:space="preserve">Próximos pasos / objetivos del mes que viene:</t>
  </si>
  <si>
    <t xml:space="preserve">A pesar de que llevemos ya más de la mitad del mes, sé que no está siendo fácil, pero confío en que poco a poco vayamos remontando esta situación. No quiero que sigamos recayendo una y otra vez en lo mismo y como te digo, sigo insistiendo en que el feedback que me transmitas es esencial para seguir progresando y buscando soluciones de cara al futuro. Ánimo con ello Jaime y a seguir con todo.</t>
  </si>
  <si>
    <t xml:space="preserve">8.  HISTÓRICO ANUAL — KM POR MES</t>
  </si>
  <si>
    <t xml:space="preserve">MES</t>
  </si>
  <si>
    <t xml:space="preserve">KM TOTALES</t>
  </si>
  <si>
    <t xml:space="preserve">ENERO</t>
  </si>
  <si>
    <t xml:space="preserve">JULIO</t>
  </si>
  <si>
    <t xml:space="preserve">FEBRERO</t>
  </si>
  <si>
    <t xml:space="preserve">AGOSTO</t>
  </si>
  <si>
    <t xml:space="preserve">SEPTIEMBRE</t>
  </si>
  <si>
    <t xml:space="preserve">ABRIL</t>
  </si>
  <si>
    <t xml:space="preserve">OCTUBRE</t>
  </si>
  <si>
    <t xml:space="preserve">MAYO</t>
  </si>
  <si>
    <t xml:space="preserve">NOVIEMBRE</t>
  </si>
  <si>
    <t xml:space="preserve">JUNIO</t>
  </si>
  <si>
    <t xml:space="preserve">DICIEMBRE</t>
  </si>
  <si>
    <t xml:space="preserve">Pon 0 en los meses que aún no han ocurrido. Cuando completes un mes, recuerda actualizar también esta tabla.</t>
  </si>
  <si>
    <t xml:space="preserve">Una vez completados los datos, ve a las hojas «INFORME MENSUAL» y «RESUMEN ANUAL» y exporta a PDF.</t>
  </si>
  <si>
    <t xml:space="preserve">MÉTODO LP TRAINING</t>
  </si>
  <si>
    <t xml:space="preserve">Lorenzo Pla  ·  Entrenador de corredores online  ·  @LP.RTRAINING_</t>
  </si>
  <si>
    <t xml:space="preserve">ADHERENCIA AL PLAN</t>
  </si>
  <si>
    <t xml:space="preserve">HORAS ENTRENADAS</t>
  </si>
  <si>
    <t xml:space="preserve">DESNIVEL ACUMULADO</t>
  </si>
  <si>
    <t xml:space="preserve">completados este mes</t>
  </si>
  <si>
    <t xml:space="preserve">tiempo total acumulado</t>
  </si>
  <si>
    <t xml:space="preserve">metros positivos</t>
  </si>
  <si>
    <t xml:space="preserve">EVOLUCIÓN DEL RENDIMIENTO vs MES ANTERIOR</t>
  </si>
  <si>
    <t xml:space="preserve">MÉTRICA</t>
  </si>
  <si>
    <t xml:space="preserve">MES ANTERIOR</t>
  </si>
  <si>
    <t xml:space="preserve">MES ACTUAL</t>
  </si>
  <si>
    <t xml:space="preserve">VARIACIÓN</t>
  </si>
  <si>
    <t xml:space="preserve">VARIACIÓN %</t>
  </si>
  <si>
    <t xml:space="preserve">Distancia Completada (km)</t>
  </si>
  <si>
    <t xml:space="preserve">Tiempo Total</t>
  </si>
  <si>
    <t xml:space="preserve">—</t>
  </si>
  <si>
    <t xml:space="preserve">Ritmo Medio (min/km)</t>
  </si>
  <si>
    <t xml:space="preserve">Rodaje más Largo (km)</t>
  </si>
  <si>
    <t xml:space="preserve">KILÓMETROS POR SEMANA</t>
  </si>
  <si>
    <t xml:space="preserve">HORAS POR SEMANA</t>
  </si>
  <si>
    <t xml:space="preserve">TIEMPO EN ZONAS DE VELOCIDAD (%)</t>
  </si>
  <si>
    <t xml:space="preserve">TIEMPO EN ZONAS DE FRECUENCIA CARDIACA (%)</t>
  </si>
  <si>
    <t xml:space="preserve">PROFORMA DEL INFORME:  Lorenzo Pla Estébanez  ·  Método LP Training</t>
  </si>
  <si>
    <t xml:space="preserve">KM ACUMULADOS DEL AÑO</t>
  </si>
  <si>
    <t xml:space="preserve">MEDIA MENSUAL (KM)</t>
  </si>
  <si>
    <t xml:space="preserve">MEJOR MES (KM)</t>
  </si>
  <si>
    <t xml:space="preserve">acumulado en el año</t>
  </si>
  <si>
    <t xml:space="preserve">de los meses con actividad</t>
  </si>
  <si>
    <t xml:space="preserve">pico de volumen del año</t>
  </si>
  <si>
    <t xml:space="preserve">KILÓMETROS TOTALES POR MES</t>
  </si>
  <si>
    <t xml:space="preserve">COMENTARIOS DEL ENTRENADOR</t>
  </si>
  <si>
    <t xml:space="preserve">PRÓXIMOS PASOS / OBJETIVOS DEL MES QUE VIENE</t>
  </si>
  <si>
    <t xml:space="preserve">Semana</t>
  </si>
  <si>
    <t xml:space="preserve">KM</t>
  </si>
  <si>
    <t xml:space="preserve">Horas</t>
  </si>
  <si>
    <t xml:space="preserve">Zona</t>
  </si>
  <si>
    <t xml:space="preserve">Velocidad</t>
  </si>
  <si>
    <t xml:space="preserve">FFCC</t>
  </si>
  <si>
    <t xml:space="preserve">Mes</t>
  </si>
  <si>
    <t xml:space="preserve">ENE</t>
  </si>
  <si>
    <t xml:space="preserve">FEB</t>
  </si>
  <si>
    <t xml:space="preserve">MAR</t>
  </si>
  <si>
    <t xml:space="preserve">ABR</t>
  </si>
  <si>
    <t xml:space="preserve">MAY</t>
  </si>
  <si>
    <t xml:space="preserve">JUN</t>
  </si>
  <si>
    <t xml:space="preserve">JUL</t>
  </si>
  <si>
    <t xml:space="preserve">AGO</t>
  </si>
  <si>
    <t xml:space="preserve">SEP</t>
  </si>
  <si>
    <t xml:space="preserve">OCT</t>
  </si>
  <si>
    <t xml:space="preserve">NOV</t>
  </si>
  <si>
    <t xml:space="preserve">DIC</t>
  </si>
</sst>
</file>

<file path=xl/styles.xml><?xml version="1.0" encoding="utf-8"?>
<styleSheet xmlns="http://schemas.openxmlformats.org/spreadsheetml/2006/main">
  <numFmts count="10">
    <numFmt numFmtId="164" formatCode="General"/>
    <numFmt numFmtId="165" formatCode="0.00"/>
    <numFmt numFmtId="166" formatCode="0.0"/>
    <numFmt numFmtId="167" formatCode="0%"/>
    <numFmt numFmtId="168" formatCode="@"/>
    <numFmt numFmtId="169" formatCode="\+0.0;\-0.0;0.0"/>
    <numFmt numFmtId="170" formatCode="\+0.0%;\-0.0%;0.0%"/>
    <numFmt numFmtId="171" formatCode="0.0\%"/>
    <numFmt numFmtId="172" formatCode="0\%"/>
    <numFmt numFmtId="173" formatCode="0"/>
  </numFmts>
  <fonts count="21">
    <font>
      <sz val="11"/>
      <color theme="1"/>
      <name val="Calibri"/>
      <family val="2"/>
      <charset val="1"/>
    </font>
    <font>
      <sz val="10"/>
      <name val="Arial"/>
      <family val="0"/>
    </font>
    <font>
      <sz val="10"/>
      <name val="Arial"/>
      <family val="0"/>
    </font>
    <font>
      <sz val="10"/>
      <name val="Arial"/>
      <family val="0"/>
    </font>
    <font>
      <b val="true"/>
      <sz val="20"/>
      <color rgb="FFFFFFFF"/>
      <name val="Calibri"/>
      <family val="0"/>
      <charset val="1"/>
    </font>
    <font>
      <i val="true"/>
      <sz val="10"/>
      <color rgb="FFFFFFFF"/>
      <name val="Calibri"/>
      <family val="0"/>
      <charset val="1"/>
    </font>
    <font>
      <b val="true"/>
      <sz val="12"/>
      <color rgb="FFFFFFFF"/>
      <name val="Calibri"/>
      <family val="0"/>
      <charset val="1"/>
    </font>
    <font>
      <b val="true"/>
      <sz val="10"/>
      <color rgb="FF1A1A1A"/>
      <name val="Calibri"/>
      <family val="0"/>
      <charset val="1"/>
    </font>
    <font>
      <b val="true"/>
      <sz val="11"/>
      <color rgb="FF000000"/>
      <name val="Calibri"/>
      <family val="0"/>
      <charset val="1"/>
    </font>
    <font>
      <i val="true"/>
      <sz val="9"/>
      <color rgb="FF616161"/>
      <name val="Calibri"/>
      <family val="0"/>
      <charset val="1"/>
    </font>
    <font>
      <b val="true"/>
      <sz val="11"/>
      <color rgb="FF1A1A1A"/>
      <name val="Calibri"/>
      <family val="0"/>
      <charset val="1"/>
    </font>
    <font>
      <sz val="11"/>
      <color rgb="FF1A1A1A"/>
      <name val="Calibri"/>
      <family val="0"/>
      <charset val="1"/>
    </font>
    <font>
      <b val="true"/>
      <i val="true"/>
      <sz val="10"/>
      <color rgb="FF1A1A1A"/>
      <name val="Calibri"/>
      <family val="0"/>
      <charset val="1"/>
    </font>
    <font>
      <b val="true"/>
      <sz val="24"/>
      <color rgb="FFFFFFFF"/>
      <name val="Calibri"/>
      <family val="0"/>
      <charset val="1"/>
    </font>
    <font>
      <b val="true"/>
      <sz val="18"/>
      <color rgb="FF1A1A1A"/>
      <name val="Calibri"/>
      <family val="0"/>
      <charset val="1"/>
    </font>
    <font>
      <b val="true"/>
      <sz val="9"/>
      <color rgb="FF000000"/>
      <name val="Calibri"/>
      <family val="0"/>
      <charset val="1"/>
    </font>
    <font>
      <b val="true"/>
      <sz val="22"/>
      <color rgb="FF1A1A1A"/>
      <name val="Calibri"/>
      <family val="0"/>
      <charset val="1"/>
    </font>
    <font>
      <b val="true"/>
      <sz val="10"/>
      <color rgb="FFFFFFFF"/>
      <name val="Calibri"/>
      <family val="0"/>
      <charset val="1"/>
    </font>
    <font>
      <i val="true"/>
      <sz val="9"/>
      <color rgb="FFFFFFFF"/>
      <name val="Calibri"/>
      <family val="0"/>
      <charset val="1"/>
    </font>
    <font>
      <sz val="10"/>
      <color rgb="FF000000"/>
      <name val="Calibri"/>
      <family val="2"/>
    </font>
    <font>
      <sz val="10"/>
      <color rgb="FF1A1A1A"/>
      <name val="Calibri"/>
      <family val="0"/>
      <charset val="1"/>
    </font>
  </fonts>
  <fills count="9">
    <fill>
      <patternFill patternType="none"/>
    </fill>
    <fill>
      <patternFill patternType="gray125"/>
    </fill>
    <fill>
      <patternFill patternType="solid">
        <fgColor rgb="FF1A1A1A"/>
        <bgColor rgb="FF003300"/>
      </patternFill>
    </fill>
    <fill>
      <patternFill patternType="solid">
        <fgColor rgb="FF3D3D3D"/>
        <bgColor rgb="FF333399"/>
      </patternFill>
    </fill>
    <fill>
      <patternFill patternType="solid">
        <fgColor rgb="FFFFF59D"/>
        <bgColor rgb="FFFFF9C4"/>
      </patternFill>
    </fill>
    <fill>
      <patternFill patternType="solid">
        <fgColor rgb="FFFFF9C4"/>
        <bgColor rgb="FFFFF59D"/>
      </patternFill>
    </fill>
    <fill>
      <patternFill patternType="solid">
        <fgColor rgb="FFFFD600"/>
        <bgColor rgb="FFFFFF00"/>
      </patternFill>
    </fill>
    <fill>
      <patternFill patternType="solid">
        <fgColor rgb="FFFFFFFF"/>
        <bgColor rgb="FFFAFAFA"/>
      </patternFill>
    </fill>
    <fill>
      <patternFill patternType="solid">
        <fgColor rgb="FFFAFAFA"/>
        <bgColor rgb="FFFFFFFF"/>
      </patternFill>
    </fill>
  </fills>
  <borders count="7">
    <border diagonalUp="false" diagonalDown="false">
      <left/>
      <right/>
      <top/>
      <bottom/>
      <diagonal/>
    </border>
    <border diagonalUp="false" diagonalDown="false">
      <left style="thin">
        <color rgb="FFBDBDBD"/>
      </left>
      <right style="thin">
        <color rgb="FFBDBDBD"/>
      </right>
      <top style="thin">
        <color rgb="FFBDBDBD"/>
      </top>
      <bottom style="thin">
        <color rgb="FFBDBDBD"/>
      </bottom>
      <diagonal/>
    </border>
    <border diagonalUp="false" diagonalDown="false">
      <left style="thin">
        <color rgb="FFBDBDBD"/>
      </left>
      <right/>
      <top style="thin">
        <color rgb="FFBDBDBD"/>
      </top>
      <bottom/>
      <diagonal/>
    </border>
    <border diagonalUp="false" diagonalDown="false">
      <left/>
      <right/>
      <top/>
      <bottom style="medium">
        <color rgb="FF1A1A1A"/>
      </bottom>
      <diagonal/>
    </border>
    <border diagonalUp="false" diagonalDown="false">
      <left style="medium">
        <color rgb="FFF9A825"/>
      </left>
      <right/>
      <top/>
      <bottom/>
      <diagonal/>
    </border>
    <border diagonalUp="false" diagonalDown="false">
      <left style="medium">
        <color rgb="FFF9A825"/>
      </left>
      <right/>
      <top/>
      <bottom style="medium">
        <color rgb="FFF9A825"/>
      </bottom>
      <diagonal/>
    </border>
    <border diagonalUp="false" diagonalDown="false">
      <left style="thin">
        <color rgb="FFBDBDBD"/>
      </left>
      <right/>
      <top style="thin">
        <color rgb="FFBDBDBD"/>
      </top>
      <bottom style="thin">
        <color rgb="FFBDBDBD"/>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center" vertical="center" textRotation="0" wrapText="true" indent="0" shrinkToFit="false"/>
      <protection locked="true" hidden="false"/>
    </xf>
    <xf numFmtId="164" fontId="5" fillId="3" borderId="0" xfId="0" applyFont="true" applyBorder="true" applyAlignment="true" applyProtection="false">
      <alignment horizontal="center" vertical="center" textRotation="0" wrapText="true" indent="0" shrinkToFit="false"/>
      <protection locked="true" hidden="false"/>
    </xf>
    <xf numFmtId="164" fontId="6" fillId="2" borderId="0" xfId="0" applyFont="true" applyBorder="true" applyAlignment="true" applyProtection="false">
      <alignment horizontal="left" vertical="center" textRotation="0" wrapText="false" indent="1" shrinkToFit="false"/>
      <protection locked="true" hidden="false"/>
    </xf>
    <xf numFmtId="164" fontId="7" fillId="0" borderId="0" xfId="0" applyFont="true" applyBorder="false" applyAlignment="true" applyProtection="false">
      <alignment horizontal="left" vertical="center" textRotation="0" wrapText="false" indent="1" shrinkToFit="false"/>
      <protection locked="true" hidden="false"/>
    </xf>
    <xf numFmtId="164" fontId="8" fillId="4" borderId="1" xfId="0" applyFont="true" applyBorder="true" applyAlignment="true" applyProtection="false">
      <alignment horizontal="center" vertical="center" textRotation="0" wrapText="false" indent="0" shrinkToFit="false"/>
      <protection locked="true" hidden="false"/>
    </xf>
    <xf numFmtId="164" fontId="9" fillId="0" borderId="0" xfId="0" applyFont="true" applyBorder="true" applyAlignment="true" applyProtection="false">
      <alignment horizontal="left" vertical="center" textRotation="0" wrapText="false" indent="1" shrinkToFit="false"/>
      <protection locked="true" hidden="false"/>
    </xf>
    <xf numFmtId="164" fontId="7" fillId="5" borderId="1" xfId="0" applyFont="true" applyBorder="true" applyAlignment="true" applyProtection="false">
      <alignment horizontal="center" vertical="center" textRotation="0" wrapText="true" indent="0" shrinkToFit="false"/>
      <protection locked="true" hidden="false"/>
    </xf>
    <xf numFmtId="164" fontId="7" fillId="4" borderId="1" xfId="0" applyFont="true" applyBorder="true" applyAlignment="true" applyProtection="false">
      <alignment horizontal="center" vertical="center" textRotation="0" wrapText="false" indent="0" shrinkToFit="false"/>
      <protection locked="true" hidden="false"/>
    </xf>
    <xf numFmtId="164" fontId="7" fillId="0" borderId="1" xfId="0" applyFont="true" applyBorder="true" applyAlignment="true" applyProtection="false">
      <alignment horizontal="center" vertical="center" textRotation="0" wrapText="false" indent="0" shrinkToFit="false"/>
      <protection locked="true" hidden="false"/>
    </xf>
    <xf numFmtId="165" fontId="8" fillId="4" borderId="1" xfId="0" applyFont="true" applyBorder="true" applyAlignment="true" applyProtection="false">
      <alignment horizontal="center" vertical="center" textRotation="0" wrapText="false" indent="0" shrinkToFit="false"/>
      <protection locked="true" hidden="false"/>
    </xf>
    <xf numFmtId="164" fontId="7" fillId="0" borderId="0" xfId="0" applyFont="true" applyBorder="false" applyAlignment="true" applyProtection="false">
      <alignment horizontal="right" vertical="center" textRotation="0" wrapText="false" indent="0" shrinkToFit="false"/>
      <protection locked="true" hidden="false"/>
    </xf>
    <xf numFmtId="165" fontId="10" fillId="0" borderId="1" xfId="0" applyFont="true" applyBorder="true" applyAlignment="true" applyProtection="false">
      <alignment horizontal="center" vertical="center" textRotation="0" wrapText="false" indent="0" shrinkToFit="false"/>
      <protection locked="true" hidden="false"/>
    </xf>
    <xf numFmtId="164" fontId="11" fillId="4" borderId="2" xfId="0" applyFont="true" applyBorder="true" applyAlignment="true" applyProtection="false">
      <alignment horizontal="left" vertical="top" textRotation="0" wrapText="true" indent="1" shrinkToFit="false"/>
      <protection locked="true" hidden="false"/>
    </xf>
    <xf numFmtId="166" fontId="8" fillId="4" borderId="1" xfId="0" applyFont="true" applyBorder="true" applyAlignment="true" applyProtection="false">
      <alignment horizontal="center" vertical="center" textRotation="0" wrapText="false" indent="0" shrinkToFit="false"/>
      <protection locked="true" hidden="false"/>
    </xf>
    <xf numFmtId="164" fontId="12" fillId="5" borderId="0" xfId="0" applyFont="true" applyBorder="true" applyAlignment="true" applyProtection="false">
      <alignment horizontal="center" vertical="center" textRotation="0" wrapText="false" indent="0" shrinkToFit="false"/>
      <protection locked="true" hidden="false"/>
    </xf>
    <xf numFmtId="164" fontId="13" fillId="2" borderId="0" xfId="0" applyFont="true" applyBorder="true" applyAlignment="true" applyProtection="false">
      <alignment horizontal="center" vertical="center" textRotation="0" wrapText="false" indent="0" shrinkToFit="false"/>
      <protection locked="true" hidden="false"/>
    </xf>
    <xf numFmtId="164" fontId="5" fillId="3" borderId="0" xfId="0" applyFont="true" applyBorder="true" applyAlignment="true" applyProtection="false">
      <alignment horizontal="center" vertical="center" textRotation="0" wrapText="false" indent="0" shrinkToFit="false"/>
      <protection locked="true" hidden="false"/>
    </xf>
    <xf numFmtId="164" fontId="14" fillId="0" borderId="3" xfId="0" applyFont="true" applyBorder="true" applyAlignment="true" applyProtection="false">
      <alignment horizontal="center" vertical="center" textRotation="0" wrapText="false" indent="0" shrinkToFit="false"/>
      <protection locked="true" hidden="false"/>
    </xf>
    <xf numFmtId="164" fontId="10" fillId="5" borderId="0" xfId="0" applyFont="true" applyBorder="true" applyAlignment="true" applyProtection="false">
      <alignment horizontal="left" vertical="center" textRotation="0" wrapText="false" indent="1" shrinkToFit="false"/>
      <protection locked="true" hidden="false"/>
    </xf>
    <xf numFmtId="164" fontId="15" fillId="6" borderId="0" xfId="0" applyFont="true" applyBorder="true" applyAlignment="true" applyProtection="false">
      <alignment horizontal="center" vertical="center" textRotation="0" wrapText="true" indent="0" shrinkToFit="false"/>
      <protection locked="true" hidden="false"/>
    </xf>
    <xf numFmtId="167" fontId="16" fillId="7" borderId="4" xfId="0" applyFont="true" applyBorder="true" applyAlignment="true" applyProtection="false">
      <alignment horizontal="center" vertical="center" textRotation="0" wrapText="true" indent="0" shrinkToFit="false"/>
      <protection locked="true" hidden="false"/>
    </xf>
    <xf numFmtId="166" fontId="16" fillId="7" borderId="4" xfId="0" applyFont="true" applyBorder="true" applyAlignment="true" applyProtection="false">
      <alignment horizontal="center" vertical="center" textRotation="0" wrapText="true" indent="0" shrinkToFit="false"/>
      <protection locked="true" hidden="false"/>
    </xf>
    <xf numFmtId="168" fontId="16" fillId="7" borderId="4" xfId="0" applyFont="true" applyBorder="true" applyAlignment="true" applyProtection="false">
      <alignment horizontal="center" vertical="center" textRotation="0" wrapText="true" indent="0" shrinkToFit="false"/>
      <protection locked="true" hidden="false"/>
    </xf>
    <xf numFmtId="164" fontId="9" fillId="7" borderId="5" xfId="0" applyFont="true" applyBorder="true" applyAlignment="true" applyProtection="false">
      <alignment horizontal="center" vertical="center" textRotation="0" wrapText="true" indent="0" shrinkToFit="false"/>
      <protection locked="true" hidden="false"/>
    </xf>
    <xf numFmtId="164" fontId="17" fillId="3" borderId="6" xfId="0" applyFont="true" applyBorder="true" applyAlignment="true" applyProtection="false">
      <alignment horizontal="center" vertical="center" textRotation="0" wrapText="true" indent="0" shrinkToFit="false"/>
      <protection locked="true" hidden="false"/>
    </xf>
    <xf numFmtId="164" fontId="7" fillId="8" borderId="6" xfId="0" applyFont="true" applyBorder="true" applyAlignment="true" applyProtection="false">
      <alignment horizontal="left" vertical="center" textRotation="0" wrapText="false" indent="1" shrinkToFit="false"/>
      <protection locked="true" hidden="false"/>
    </xf>
    <xf numFmtId="166" fontId="11" fillId="8" borderId="6" xfId="0" applyFont="true" applyBorder="true" applyAlignment="true" applyProtection="false">
      <alignment horizontal="center" vertical="center" textRotation="0" wrapText="true" indent="0" shrinkToFit="false"/>
      <protection locked="true" hidden="false"/>
    </xf>
    <xf numFmtId="169" fontId="10" fillId="8" borderId="6" xfId="0" applyFont="true" applyBorder="true" applyAlignment="true" applyProtection="false">
      <alignment horizontal="center" vertical="center" textRotation="0" wrapText="true" indent="0" shrinkToFit="false"/>
      <protection locked="true" hidden="false"/>
    </xf>
    <xf numFmtId="170" fontId="10" fillId="8" borderId="6" xfId="0" applyFont="true" applyBorder="true" applyAlignment="true" applyProtection="false">
      <alignment horizontal="center" vertical="center" textRotation="0" wrapText="true" indent="0" shrinkToFit="false"/>
      <protection locked="true" hidden="false"/>
    </xf>
    <xf numFmtId="164" fontId="7" fillId="7" borderId="6" xfId="0" applyFont="true" applyBorder="true" applyAlignment="true" applyProtection="false">
      <alignment horizontal="left" vertical="center" textRotation="0" wrapText="false" indent="1" shrinkToFit="false"/>
      <protection locked="true" hidden="false"/>
    </xf>
    <xf numFmtId="164" fontId="11" fillId="7" borderId="6" xfId="0" applyFont="true" applyBorder="true" applyAlignment="true" applyProtection="false">
      <alignment horizontal="center" vertical="center" textRotation="0" wrapText="true" indent="0" shrinkToFit="false"/>
      <protection locked="true" hidden="false"/>
    </xf>
    <xf numFmtId="164" fontId="10" fillId="7" borderId="6" xfId="0" applyFont="true" applyBorder="true" applyAlignment="true" applyProtection="false">
      <alignment horizontal="center" vertical="center" textRotation="0" wrapText="true" indent="0" shrinkToFit="false"/>
      <protection locked="true" hidden="false"/>
    </xf>
    <xf numFmtId="164" fontId="11" fillId="8" borderId="6" xfId="0" applyFont="true" applyBorder="true" applyAlignment="true" applyProtection="false">
      <alignment horizontal="center" vertical="center" textRotation="0" wrapText="true" indent="0" shrinkToFit="false"/>
      <protection locked="true" hidden="false"/>
    </xf>
    <xf numFmtId="164" fontId="10" fillId="8" borderId="6" xfId="0" applyFont="true" applyBorder="true" applyAlignment="true" applyProtection="false">
      <alignment horizontal="center" vertical="center" textRotation="0" wrapText="true" indent="0" shrinkToFit="false"/>
      <protection locked="true" hidden="false"/>
    </xf>
    <xf numFmtId="166" fontId="11" fillId="7" borderId="6" xfId="0" applyFont="true" applyBorder="true" applyAlignment="true" applyProtection="false">
      <alignment horizontal="center" vertical="center" textRotation="0" wrapText="true" indent="0" shrinkToFit="false"/>
      <protection locked="true" hidden="false"/>
    </xf>
    <xf numFmtId="169" fontId="10" fillId="7" borderId="6" xfId="0" applyFont="true" applyBorder="true" applyAlignment="true" applyProtection="false">
      <alignment horizontal="center" vertical="center" textRotation="0" wrapText="true" indent="0" shrinkToFit="false"/>
      <protection locked="true" hidden="false"/>
    </xf>
    <xf numFmtId="170" fontId="10" fillId="7" borderId="6" xfId="0" applyFont="true" applyBorder="true" applyAlignment="true" applyProtection="false">
      <alignment horizontal="center" vertical="center" textRotation="0" wrapText="true" indent="0" shrinkToFit="false"/>
      <protection locked="true" hidden="false"/>
    </xf>
    <xf numFmtId="164" fontId="6" fillId="2" borderId="0" xfId="0" applyFont="true" applyBorder="true" applyAlignment="true" applyProtection="false">
      <alignment horizontal="center" vertical="center" textRotation="0" wrapText="false" indent="0" shrinkToFit="false"/>
      <protection locked="true" hidden="false"/>
    </xf>
    <xf numFmtId="164" fontId="18" fillId="2" borderId="0" xfId="0" applyFont="true" applyBorder="true" applyAlignment="true" applyProtection="false">
      <alignment horizontal="center" vertical="center" textRotation="0" wrapText="true" indent="0" shrinkToFit="false"/>
      <protection locked="true" hidden="false"/>
    </xf>
    <xf numFmtId="164" fontId="10" fillId="5" borderId="0" xfId="0" applyFont="true" applyBorder="true" applyAlignment="true" applyProtection="false">
      <alignment horizontal="center" vertical="center" textRotation="0" wrapText="false" indent="0" shrinkToFit="false"/>
      <protection locked="true" hidden="false"/>
    </xf>
    <xf numFmtId="164" fontId="20" fillId="8" borderId="2" xfId="0" applyFont="true" applyBorder="true" applyAlignment="true" applyProtection="false">
      <alignment horizontal="left" vertical="top" textRotation="0" wrapText="true" indent="1" shrinkToFit="false"/>
      <protection locked="true" hidden="false"/>
    </xf>
    <xf numFmtId="165" fontId="0" fillId="0" borderId="0" xfId="0" applyFont="false" applyBorder="false" applyAlignment="false" applyProtection="false">
      <alignment horizontal="general" vertical="bottom" textRotation="0" wrapText="false" indent="0" shrinkToFit="false"/>
      <protection locked="true" hidden="false"/>
    </xf>
    <xf numFmtId="166" fontId="0" fillId="0" borderId="0" xfId="0" applyFont="fals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DBDBD"/>
      <rgbColor rgb="FF878787"/>
      <rgbColor rgb="FF9999FF"/>
      <rgbColor rgb="FF993366"/>
      <rgbColor rgb="FFFFF9C4"/>
      <rgbColor rgb="FFFAFAFA"/>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F59D"/>
      <rgbColor rgb="FF99CCFF"/>
      <rgbColor rgb="FFFF99CC"/>
      <rgbColor rgb="FFCC99FF"/>
      <rgbColor rgb="FFFFCC99"/>
      <rgbColor rgb="FF3366FF"/>
      <rgbColor rgb="FF33CCCC"/>
      <rgbColor rgb="FF99CC00"/>
      <rgbColor rgb="FFFFD600"/>
      <rgbColor rgb="FFF9A825"/>
      <rgbColor rgb="FFFF6600"/>
      <rgbColor rgb="FF616161"/>
      <rgbColor rgb="FF969696"/>
      <rgbColor rgb="FF003366"/>
      <rgbColor rgb="FF2E7D32"/>
      <rgbColor rgb="FF003300"/>
      <rgbColor rgb="FF1A1A1A"/>
      <rgbColor rgb="FFC62828"/>
      <rgbColor rgb="FF993366"/>
      <rgbColor rgb="FF333399"/>
      <rgbColor rgb="FF3D3D3D"/>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barChart>
        <c:barDir val="col"/>
        <c:grouping val="clustered"/>
        <c:varyColors val="0"/>
        <c:ser>
          <c:idx val="0"/>
          <c:order val="0"/>
          <c:tx>
            <c:strRef>
              <c:f>_chart_data!B1</c:f>
              <c:strCache>
                <c:ptCount val="1"/>
                <c:pt idx="0">
                  <c:v>KM</c:v>
                </c:pt>
              </c:strCache>
            </c:strRef>
          </c:tx>
          <c:spPr>
            <a:solidFill>
              <a:srgbClr val="ffd600"/>
            </a:solidFill>
            <a:ln w="0">
              <a:noFill/>
            </a:ln>
          </c:spPr>
          <c:invertIfNegative val="0"/>
          <c:dLbls>
            <c:txPr>
              <a:bodyPr wrap="square"/>
              <a:lstStyle/>
              <a:p>
                <a:pPr>
                  <a:defRPr b="0" sz="1000" spc="-1" strike="noStrike">
                    <a:solidFill>
                      <a:srgbClr val="000000"/>
                    </a:solidFill>
                    <a:latin typeface="Calibri"/>
                  </a:defRPr>
                </a:pPr>
              </a:p>
            </c:txPr>
            <c:dLblPos val="outEnd"/>
            <c:showLegendKey val="0"/>
            <c:showVal val="1"/>
            <c:showCatName val="0"/>
            <c:showSerName val="0"/>
            <c:showPercent val="0"/>
            <c:separator>; </c:separator>
            <c:showLeaderLines val="1"/>
            <c:extLst>
              <c:ext xmlns:c15="http://schemas.microsoft.com/office/drawing/2012/chart" uri="{CE6537A1-D6FC-4f65-9D91-7224C49458BB}">
                <c15:showLeaderLines val="1"/>
              </c:ext>
            </c:extLst>
          </c:dLbls>
          <c:cat>
            <c:strRef>
              <c:f>_chart_data!$A$2:$A$6</c:f>
              <c:strCache>
                <c:ptCount val="5"/>
                <c:pt idx="0">
                  <c:v>S 1 (2 a 8)</c:v>
                </c:pt>
                <c:pt idx="1">
                  <c:v>S 2 (9 a 15)</c:v>
                </c:pt>
                <c:pt idx="2">
                  <c:v>S 3 (16 a 22)</c:v>
                </c:pt>
                <c:pt idx="3">
                  <c:v>S 4 (23 a 29)</c:v>
                </c:pt>
                <c:pt idx="4">
                  <c:v>S 5 (30-fin)</c:v>
                </c:pt>
              </c:strCache>
            </c:strRef>
          </c:cat>
          <c:val>
            <c:numRef>
              <c:f>_chart_data!$B$2:$B$6</c:f>
              <c:numCache>
                <c:formatCode>General</c:formatCode>
                <c:ptCount val="5"/>
                <c:pt idx="0">
                  <c:v>24.7</c:v>
                </c:pt>
                <c:pt idx="1">
                  <c:v>29.2</c:v>
                </c:pt>
                <c:pt idx="2">
                  <c:v>10.8</c:v>
                </c:pt>
                <c:pt idx="3">
                  <c:v>0</c:v>
                </c:pt>
                <c:pt idx="4">
                  <c:v>0</c:v>
                </c:pt>
              </c:numCache>
            </c:numRef>
          </c:val>
        </c:ser>
        <c:gapWidth val="150"/>
        <c:overlap val="0"/>
        <c:axId val="90208239"/>
        <c:axId val="65231607"/>
      </c:barChart>
      <c:catAx>
        <c:axId val="90208239"/>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5231607"/>
        <c:crosses val="autoZero"/>
        <c:auto val="1"/>
        <c:lblAlgn val="ctr"/>
        <c:lblOffset val="100"/>
        <c:noMultiLvlLbl val="0"/>
      </c:catAx>
      <c:valAx>
        <c:axId val="65231607"/>
        <c:scaling>
          <c:orientation val="minMax"/>
        </c:scaling>
        <c:delete val="0"/>
        <c:axPos val="l"/>
        <c:majorGridlines>
          <c:spPr>
            <a:ln w="9360">
              <a:solidFill>
                <a:srgbClr val="878787"/>
              </a:solidFill>
              <a:round/>
            </a:ln>
          </c:spPr>
        </c:majorGridlines>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0208239"/>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barChart>
        <c:barDir val="col"/>
        <c:grouping val="clustered"/>
        <c:varyColors val="0"/>
        <c:ser>
          <c:idx val="0"/>
          <c:order val="0"/>
          <c:tx>
            <c:strRef>
              <c:f>_chart_data!C1</c:f>
              <c:strCache>
                <c:ptCount val="1"/>
                <c:pt idx="0">
                  <c:v>Horas</c:v>
                </c:pt>
              </c:strCache>
            </c:strRef>
          </c:tx>
          <c:spPr>
            <a:solidFill>
              <a:srgbClr val="f9a825"/>
            </a:solidFill>
            <a:ln w="0">
              <a:noFill/>
            </a:ln>
          </c:spPr>
          <c:invertIfNegative val="0"/>
          <c:dLbls>
            <c:numFmt formatCode="0.0" sourceLinked="1"/>
            <c:txPr>
              <a:bodyPr wrap="square"/>
              <a:lstStyle/>
              <a:p>
                <a:pPr>
                  <a:defRPr b="0" sz="1000" spc="-1" strike="noStrike">
                    <a:solidFill>
                      <a:srgbClr val="000000"/>
                    </a:solidFill>
                    <a:latin typeface="Calibri"/>
                  </a:defRPr>
                </a:pPr>
              </a:p>
            </c:txPr>
            <c:dLblPos val="outEnd"/>
            <c:showLegendKey val="0"/>
            <c:showVal val="1"/>
            <c:showCatName val="0"/>
            <c:showSerName val="0"/>
            <c:showPercent val="0"/>
            <c:separator>; </c:separator>
            <c:showLeaderLines val="1"/>
            <c:extLst>
              <c:ext xmlns:c15="http://schemas.microsoft.com/office/drawing/2012/chart" uri="{CE6537A1-D6FC-4f65-9D91-7224C49458BB}">
                <c15:showLeaderLines val="1"/>
              </c:ext>
            </c:extLst>
          </c:dLbls>
          <c:cat>
            <c:strRef>
              <c:f>_chart_data!$A$2:$A$6</c:f>
              <c:strCache>
                <c:ptCount val="5"/>
                <c:pt idx="0">
                  <c:v>S 1 (2 a 8)</c:v>
                </c:pt>
                <c:pt idx="1">
                  <c:v>S 2 (9 a 15)</c:v>
                </c:pt>
                <c:pt idx="2">
                  <c:v>S 3 (16 a 22)</c:v>
                </c:pt>
                <c:pt idx="3">
                  <c:v>S 4 (23 a 29)</c:v>
                </c:pt>
                <c:pt idx="4">
                  <c:v>S 5 (30-fin)</c:v>
                </c:pt>
              </c:strCache>
            </c:strRef>
          </c:cat>
          <c:val>
            <c:numRef>
              <c:f>_chart_data!$C$2:$C$6</c:f>
              <c:numCache>
                <c:formatCode>General</c:formatCode>
                <c:ptCount val="5"/>
                <c:pt idx="0">
                  <c:v>4.8</c:v>
                </c:pt>
                <c:pt idx="1">
                  <c:v>4.9</c:v>
                </c:pt>
                <c:pt idx="2">
                  <c:v>1.1</c:v>
                </c:pt>
                <c:pt idx="3">
                  <c:v>0.9</c:v>
                </c:pt>
                <c:pt idx="4">
                  <c:v>0</c:v>
                </c:pt>
              </c:numCache>
            </c:numRef>
          </c:val>
        </c:ser>
        <c:gapWidth val="150"/>
        <c:overlap val="0"/>
        <c:axId val="94910127"/>
        <c:axId val="12531167"/>
      </c:barChart>
      <c:catAx>
        <c:axId val="94910127"/>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2531167"/>
        <c:crosses val="autoZero"/>
        <c:auto val="1"/>
        <c:lblAlgn val="ctr"/>
        <c:lblOffset val="100"/>
        <c:noMultiLvlLbl val="0"/>
      </c:catAx>
      <c:valAx>
        <c:axId val="12531167"/>
        <c:scaling>
          <c:orientation val="minMax"/>
        </c:scaling>
        <c:delete val="0"/>
        <c:axPos val="l"/>
        <c:majorGridlines>
          <c:spPr>
            <a:ln w="9360">
              <a:solidFill>
                <a:srgbClr val="878787"/>
              </a:solidFill>
              <a:round/>
            </a:ln>
          </c:spPr>
        </c:majorGridlines>
        <c:numFmt formatCode="0.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4910127"/>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barChart>
        <c:barDir val="col"/>
        <c:grouping val="clustered"/>
        <c:varyColors val="0"/>
        <c:ser>
          <c:idx val="0"/>
          <c:order val="0"/>
          <c:tx>
            <c:strRef>
              <c:f>_chart_data!F1</c:f>
              <c:strCache>
                <c:ptCount val="1"/>
                <c:pt idx="0">
                  <c:v>Velocidad</c:v>
                </c:pt>
              </c:strCache>
            </c:strRef>
          </c:tx>
          <c:spPr>
            <a:solidFill>
              <a:srgbClr val="2e7d32"/>
            </a:solidFill>
            <a:ln w="0">
              <a:noFill/>
            </a:ln>
          </c:spPr>
          <c:invertIfNegative val="0"/>
          <c:dLbls>
            <c:numFmt formatCode="0.0\%" sourceLinked="1"/>
            <c:txPr>
              <a:bodyPr wrap="square"/>
              <a:lstStyle/>
              <a:p>
                <a:pPr>
                  <a:defRPr b="0" sz="1000" spc="-1" strike="noStrike">
                    <a:solidFill>
                      <a:srgbClr val="000000"/>
                    </a:solidFill>
                    <a:latin typeface="Calibri"/>
                  </a:defRPr>
                </a:pPr>
              </a:p>
            </c:txPr>
            <c:dLblPos val="outEnd"/>
            <c:showLegendKey val="0"/>
            <c:showVal val="1"/>
            <c:showCatName val="0"/>
            <c:showSerName val="0"/>
            <c:showPercent val="0"/>
            <c:separator>; </c:separator>
            <c:showLeaderLines val="1"/>
            <c:extLst>
              <c:ext xmlns:c15="http://schemas.microsoft.com/office/drawing/2012/chart" uri="{CE6537A1-D6FC-4f65-9D91-7224C49458BB}">
                <c15:showLeaderLines val="1"/>
              </c:ext>
            </c:extLst>
          </c:dLbls>
          <c:cat>
            <c:strRef>
              <c:f>_chart_data!$E$2:$E$9</c:f>
              <c:strCache>
                <c:ptCount val="8"/>
                <c:pt idx="0">
                  <c:v>Z0</c:v>
                </c:pt>
                <c:pt idx="1">
                  <c:v>Z1</c:v>
                </c:pt>
                <c:pt idx="2">
                  <c:v>Z1+</c:v>
                </c:pt>
                <c:pt idx="3">
                  <c:v>Z2</c:v>
                </c:pt>
                <c:pt idx="4">
                  <c:v>Z3</c:v>
                </c:pt>
                <c:pt idx="5">
                  <c:v>Z3+</c:v>
                </c:pt>
                <c:pt idx="6">
                  <c:v>Z4</c:v>
                </c:pt>
                <c:pt idx="7">
                  <c:v>Z5</c:v>
                </c:pt>
              </c:strCache>
            </c:strRef>
          </c:cat>
          <c:val>
            <c:numRef>
              <c:f>_chart_data!$F$2:$F$9</c:f>
              <c:numCache>
                <c:formatCode>0.00</c:formatCode>
                <c:ptCount val="8"/>
                <c:pt idx="0">
                  <c:v>1.34</c:v>
                </c:pt>
                <c:pt idx="1">
                  <c:v>34.3</c:v>
                </c:pt>
                <c:pt idx="2">
                  <c:v>44.7</c:v>
                </c:pt>
                <c:pt idx="3">
                  <c:v>13.8</c:v>
                </c:pt>
                <c:pt idx="4">
                  <c:v>3.12</c:v>
                </c:pt>
                <c:pt idx="5">
                  <c:v>1.47</c:v>
                </c:pt>
                <c:pt idx="6">
                  <c:v>0.23</c:v>
                </c:pt>
                <c:pt idx="7">
                  <c:v>1.08</c:v>
                </c:pt>
              </c:numCache>
            </c:numRef>
          </c:val>
        </c:ser>
        <c:gapWidth val="150"/>
        <c:overlap val="0"/>
        <c:axId val="91899241"/>
        <c:axId val="42109910"/>
      </c:barChart>
      <c:catAx>
        <c:axId val="91899241"/>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42109910"/>
        <c:crosses val="autoZero"/>
        <c:auto val="1"/>
        <c:lblAlgn val="ctr"/>
        <c:lblOffset val="100"/>
        <c:noMultiLvlLbl val="0"/>
      </c:catAx>
      <c:valAx>
        <c:axId val="42109910"/>
        <c:scaling>
          <c:orientation val="minMax"/>
        </c:scaling>
        <c:delete val="0"/>
        <c:axPos val="l"/>
        <c:majorGridlines>
          <c:spPr>
            <a:ln w="9360">
              <a:solidFill>
                <a:srgbClr val="878787"/>
              </a:solidFill>
              <a:round/>
            </a:ln>
          </c:spPr>
        </c:majorGridlines>
        <c:numFmt formatCode="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1899241"/>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barChart>
        <c:barDir val="col"/>
        <c:grouping val="clustered"/>
        <c:varyColors val="0"/>
        <c:ser>
          <c:idx val="0"/>
          <c:order val="0"/>
          <c:tx>
            <c:strRef>
              <c:f>_chart_data!G1</c:f>
              <c:strCache>
                <c:ptCount val="1"/>
                <c:pt idx="0">
                  <c:v>FFCC</c:v>
                </c:pt>
              </c:strCache>
            </c:strRef>
          </c:tx>
          <c:spPr>
            <a:solidFill>
              <a:srgbClr val="c62828"/>
            </a:solidFill>
            <a:ln w="0">
              <a:noFill/>
            </a:ln>
          </c:spPr>
          <c:invertIfNegative val="0"/>
          <c:dLbls>
            <c:numFmt formatCode="0.0\%" sourceLinked="1"/>
            <c:txPr>
              <a:bodyPr wrap="square"/>
              <a:lstStyle/>
              <a:p>
                <a:pPr>
                  <a:defRPr b="0" sz="1000" spc="-1" strike="noStrike">
                    <a:solidFill>
                      <a:srgbClr val="000000"/>
                    </a:solidFill>
                    <a:latin typeface="Calibri"/>
                  </a:defRPr>
                </a:pPr>
              </a:p>
            </c:txPr>
            <c:dLblPos val="outEnd"/>
            <c:showLegendKey val="0"/>
            <c:showVal val="1"/>
            <c:showCatName val="0"/>
            <c:showSerName val="0"/>
            <c:showPercent val="0"/>
            <c:separator>; </c:separator>
            <c:showLeaderLines val="1"/>
            <c:extLst>
              <c:ext xmlns:c15="http://schemas.microsoft.com/office/drawing/2012/chart" uri="{CE6537A1-D6FC-4f65-9D91-7224C49458BB}">
                <c15:showLeaderLines val="1"/>
              </c:ext>
            </c:extLst>
          </c:dLbls>
          <c:cat>
            <c:strRef>
              <c:f>_chart_data!$E$2:$E$9</c:f>
              <c:strCache>
                <c:ptCount val="8"/>
                <c:pt idx="0">
                  <c:v>Z0</c:v>
                </c:pt>
                <c:pt idx="1">
                  <c:v>Z1</c:v>
                </c:pt>
                <c:pt idx="2">
                  <c:v>Z1+</c:v>
                </c:pt>
                <c:pt idx="3">
                  <c:v>Z2</c:v>
                </c:pt>
                <c:pt idx="4">
                  <c:v>Z3</c:v>
                </c:pt>
                <c:pt idx="5">
                  <c:v>Z3+</c:v>
                </c:pt>
                <c:pt idx="6">
                  <c:v>Z4</c:v>
                </c:pt>
                <c:pt idx="7">
                  <c:v>Z5</c:v>
                </c:pt>
              </c:strCache>
            </c:strRef>
          </c:cat>
          <c:val>
            <c:numRef>
              <c:f>_chart_data!$G$2:$G$9</c:f>
              <c:numCache>
                <c:formatCode>0.00</c:formatCode>
                <c:ptCount val="8"/>
                <c:pt idx="0">
                  <c:v>1.54</c:v>
                </c:pt>
                <c:pt idx="1">
                  <c:v>4.21</c:v>
                </c:pt>
                <c:pt idx="2">
                  <c:v>6.9</c:v>
                </c:pt>
                <c:pt idx="3">
                  <c:v>18.6</c:v>
                </c:pt>
                <c:pt idx="4">
                  <c:v>13.9</c:v>
                </c:pt>
                <c:pt idx="5">
                  <c:v>0</c:v>
                </c:pt>
                <c:pt idx="6">
                  <c:v>0</c:v>
                </c:pt>
                <c:pt idx="7">
                  <c:v>0</c:v>
                </c:pt>
              </c:numCache>
            </c:numRef>
          </c:val>
        </c:ser>
        <c:gapWidth val="150"/>
        <c:overlap val="0"/>
        <c:axId val="14363098"/>
        <c:axId val="15430886"/>
      </c:barChart>
      <c:catAx>
        <c:axId val="14363098"/>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5430886"/>
        <c:crosses val="autoZero"/>
        <c:auto val="1"/>
        <c:lblAlgn val="ctr"/>
        <c:lblOffset val="100"/>
        <c:noMultiLvlLbl val="0"/>
      </c:catAx>
      <c:valAx>
        <c:axId val="15430886"/>
        <c:scaling>
          <c:orientation val="minMax"/>
        </c:scaling>
        <c:delete val="0"/>
        <c:axPos val="l"/>
        <c:majorGridlines>
          <c:spPr>
            <a:ln w="9360">
              <a:solidFill>
                <a:srgbClr val="878787"/>
              </a:solidFill>
              <a:round/>
            </a:ln>
          </c:spPr>
        </c:majorGridlines>
        <c:numFmt formatCode="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4363098"/>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barChart>
        <c:barDir val="col"/>
        <c:grouping val="clustered"/>
        <c:varyColors val="0"/>
        <c:ser>
          <c:idx val="0"/>
          <c:order val="0"/>
          <c:tx>
            <c:strRef>
              <c:f>_chart_data!J1</c:f>
              <c:strCache>
                <c:ptCount val="1"/>
                <c:pt idx="0">
                  <c:v>KM</c:v>
                </c:pt>
              </c:strCache>
            </c:strRef>
          </c:tx>
          <c:spPr>
            <a:solidFill>
              <a:srgbClr val="ffd600"/>
            </a:solidFill>
            <a:ln w="0">
              <a:noFill/>
            </a:ln>
          </c:spPr>
          <c:invertIfNegative val="0"/>
          <c:dLbls>
            <c:numFmt formatCode="0" sourceLinked="1"/>
            <c:txPr>
              <a:bodyPr wrap="square"/>
              <a:lstStyle/>
              <a:p>
                <a:pPr>
                  <a:defRPr b="0" sz="1000" spc="-1" strike="noStrike">
                    <a:solidFill>
                      <a:srgbClr val="000000"/>
                    </a:solidFill>
                    <a:latin typeface="Calibri"/>
                  </a:defRPr>
                </a:pPr>
              </a:p>
            </c:txPr>
            <c:dLblPos val="outEnd"/>
            <c:showLegendKey val="0"/>
            <c:showVal val="1"/>
            <c:showCatName val="0"/>
            <c:showSerName val="0"/>
            <c:showPercent val="0"/>
            <c:separator>; </c:separator>
            <c:showLeaderLines val="1"/>
            <c:extLst>
              <c:ext xmlns:c15="http://schemas.microsoft.com/office/drawing/2012/chart" uri="{CE6537A1-D6FC-4f65-9D91-7224C49458BB}">
                <c15:showLeaderLines val="1"/>
              </c:ext>
            </c:extLst>
          </c:dLbls>
          <c:cat>
            <c:strRef>
              <c:f>_chart_data!$I$2:$I$13</c:f>
              <c:strCache>
                <c:ptCount val="12"/>
                <c:pt idx="0">
                  <c:v>ENE</c:v>
                </c:pt>
                <c:pt idx="1">
                  <c:v>FEB</c:v>
                </c:pt>
                <c:pt idx="2">
                  <c:v>MAR</c:v>
                </c:pt>
                <c:pt idx="3">
                  <c:v>ABR</c:v>
                </c:pt>
                <c:pt idx="4">
                  <c:v>MAY</c:v>
                </c:pt>
                <c:pt idx="5">
                  <c:v>JUN</c:v>
                </c:pt>
                <c:pt idx="6">
                  <c:v>JUL</c:v>
                </c:pt>
                <c:pt idx="7">
                  <c:v>AGO</c:v>
                </c:pt>
                <c:pt idx="8">
                  <c:v>SEP</c:v>
                </c:pt>
                <c:pt idx="9">
                  <c:v>OCT</c:v>
                </c:pt>
                <c:pt idx="10">
                  <c:v>NOV</c:v>
                </c:pt>
                <c:pt idx="11">
                  <c:v>DIC</c:v>
                </c:pt>
              </c:strCache>
            </c:strRef>
          </c:cat>
          <c:val>
            <c:numRef>
              <c:f>_chart_data!$J$2:$J$13</c:f>
              <c:numCache>
                <c:formatCode>0.0</c:formatCode>
                <c:ptCount val="12"/>
                <c:pt idx="0">
                  <c:v>226</c:v>
                </c:pt>
                <c:pt idx="1">
                  <c:v>77.1</c:v>
                </c:pt>
                <c:pt idx="2">
                  <c:v>64.7</c:v>
                </c:pt>
                <c:pt idx="3">
                  <c:v>0</c:v>
                </c:pt>
                <c:pt idx="4">
                  <c:v>0</c:v>
                </c:pt>
                <c:pt idx="5">
                  <c:v>0</c:v>
                </c:pt>
                <c:pt idx="6">
                  <c:v>0</c:v>
                </c:pt>
                <c:pt idx="7">
                  <c:v>0</c:v>
                </c:pt>
                <c:pt idx="8">
                  <c:v>0</c:v>
                </c:pt>
                <c:pt idx="9">
                  <c:v>0</c:v>
                </c:pt>
                <c:pt idx="10">
                  <c:v>0</c:v>
                </c:pt>
                <c:pt idx="11">
                  <c:v>0</c:v>
                </c:pt>
              </c:numCache>
            </c:numRef>
          </c:val>
        </c:ser>
        <c:gapWidth val="150"/>
        <c:overlap val="0"/>
        <c:axId val="38341061"/>
        <c:axId val="24018801"/>
      </c:barChart>
      <c:catAx>
        <c:axId val="38341061"/>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24018801"/>
        <c:crosses val="autoZero"/>
        <c:auto val="1"/>
        <c:lblAlgn val="ctr"/>
        <c:lblOffset val="100"/>
        <c:noMultiLvlLbl val="0"/>
      </c:catAx>
      <c:valAx>
        <c:axId val="24018801"/>
        <c:scaling>
          <c:orientation val="minMax"/>
        </c:scaling>
        <c:delete val="0"/>
        <c:axPos val="l"/>
        <c:majorGridlines>
          <c:spPr>
            <a:ln w="9360">
              <a:solidFill>
                <a:srgbClr val="878787"/>
              </a:solidFill>
              <a:round/>
            </a:ln>
          </c:spPr>
        </c:majorGridlines>
        <c:numFmt formatCode="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38341061"/>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 Id="rId4" Type="http://schemas.openxmlformats.org/officeDocument/2006/relationships/chart" Target="../charts/chart4.xml"/>
</Relationships>
</file>

<file path=xl/drawings/_rels/drawing2.xml.rels><?xml version="1.0" encoding="UTF-8"?>
<Relationships xmlns="http://schemas.openxmlformats.org/package/2006/relationships"><Relationship Id="rId1" Type="http://schemas.openxmlformats.org/officeDocument/2006/relationships/chart" Target="../charts/chart5.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0</xdr:colOff>
      <xdr:row>20</xdr:row>
      <xdr:rowOff>0</xdr:rowOff>
    </xdr:from>
    <xdr:to>
      <xdr:col>6</xdr:col>
      <xdr:colOff>83160</xdr:colOff>
      <xdr:row>33</xdr:row>
      <xdr:rowOff>110880</xdr:rowOff>
    </xdr:to>
    <xdr:graphicFrame>
      <xdr:nvGraphicFramePr>
        <xdr:cNvPr id="0" name="Chart 1"/>
        <xdr:cNvGraphicFramePr/>
      </xdr:nvGraphicFramePr>
      <xdr:xfrm>
        <a:off x="106200" y="5553000"/>
        <a:ext cx="3959640" cy="233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7</xdr:col>
      <xdr:colOff>0</xdr:colOff>
      <xdr:row>20</xdr:row>
      <xdr:rowOff>0</xdr:rowOff>
    </xdr:from>
    <xdr:to>
      <xdr:col>12</xdr:col>
      <xdr:colOff>83160</xdr:colOff>
      <xdr:row>33</xdr:row>
      <xdr:rowOff>110880</xdr:rowOff>
    </xdr:to>
    <xdr:graphicFrame>
      <xdr:nvGraphicFramePr>
        <xdr:cNvPr id="1" name="Chart 2"/>
        <xdr:cNvGraphicFramePr/>
      </xdr:nvGraphicFramePr>
      <xdr:xfrm>
        <a:off x="4758120" y="5553000"/>
        <a:ext cx="3959640" cy="233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xdr:col>
      <xdr:colOff>0</xdr:colOff>
      <xdr:row>37</xdr:row>
      <xdr:rowOff>0</xdr:rowOff>
    </xdr:from>
    <xdr:to>
      <xdr:col>6</xdr:col>
      <xdr:colOff>83160</xdr:colOff>
      <xdr:row>50</xdr:row>
      <xdr:rowOff>110880</xdr:rowOff>
    </xdr:to>
    <xdr:graphicFrame>
      <xdr:nvGraphicFramePr>
        <xdr:cNvPr id="2" name="Chart 3"/>
        <xdr:cNvGraphicFramePr/>
      </xdr:nvGraphicFramePr>
      <xdr:xfrm>
        <a:off x="106200" y="8667720"/>
        <a:ext cx="3959640" cy="233964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7</xdr:col>
      <xdr:colOff>0</xdr:colOff>
      <xdr:row>37</xdr:row>
      <xdr:rowOff>0</xdr:rowOff>
    </xdr:from>
    <xdr:to>
      <xdr:col>12</xdr:col>
      <xdr:colOff>83160</xdr:colOff>
      <xdr:row>50</xdr:row>
      <xdr:rowOff>110880</xdr:rowOff>
    </xdr:to>
    <xdr:graphicFrame>
      <xdr:nvGraphicFramePr>
        <xdr:cNvPr id="3" name="Chart 4"/>
        <xdr:cNvGraphicFramePr/>
      </xdr:nvGraphicFramePr>
      <xdr:xfrm>
        <a:off x="4758120" y="8667720"/>
        <a:ext cx="3959640" cy="233964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0</xdr:colOff>
      <xdr:row>13</xdr:row>
      <xdr:rowOff>0</xdr:rowOff>
    </xdr:from>
    <xdr:to>
      <xdr:col>11</xdr:col>
      <xdr:colOff>166320</xdr:colOff>
      <xdr:row>31</xdr:row>
      <xdr:rowOff>153720</xdr:rowOff>
    </xdr:to>
    <xdr:graphicFrame>
      <xdr:nvGraphicFramePr>
        <xdr:cNvPr id="4" name="Chart 1"/>
        <xdr:cNvGraphicFramePr/>
      </xdr:nvGraphicFramePr>
      <xdr:xfrm>
        <a:off x="106200" y="3543480"/>
        <a:ext cx="7919640" cy="323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F73"/>
  <sheetViews>
    <sheetView showFormulas="false" showGridLines="false" showRowColHeaders="true" showZeros="true" rightToLeft="false" tabSelected="true" showOutlineSymbols="true" defaultGridColor="true" view="normal" topLeftCell="A1" colorId="64" zoomScale="110" zoomScaleNormal="11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2" min="2" style="0" width="32"/>
    <col collapsed="false" customWidth="true" hidden="false" outlineLevel="0" max="3" min="3" style="0" width="18"/>
    <col collapsed="false" customWidth="true" hidden="false" outlineLevel="0" max="4" min="4" style="0" width="4"/>
    <col collapsed="false" customWidth="true" hidden="false" outlineLevel="0" max="5" min="5" style="0" width="32"/>
    <col collapsed="false" customWidth="true" hidden="false" outlineLevel="0" max="6" min="6" style="0" width="18"/>
    <col collapsed="false" customWidth="true" hidden="false" outlineLevel="0" max="7" min="7" style="0" width="2"/>
  </cols>
  <sheetData>
    <row r="1" customFormat="false" ht="7.5" hidden="false" customHeight="true" outlineLevel="0" collapsed="false"/>
    <row r="2" customFormat="false" ht="37.5" hidden="false" customHeight="true" outlineLevel="0" collapsed="false">
      <c r="B2" s="1" t="s">
        <v>0</v>
      </c>
      <c r="C2" s="1"/>
      <c r="D2" s="1"/>
      <c r="E2" s="1"/>
      <c r="F2" s="1"/>
    </row>
    <row r="3" customFormat="false" ht="21.75" hidden="false" customHeight="true" outlineLevel="0" collapsed="false">
      <c r="B3" s="2" t="s">
        <v>1</v>
      </c>
      <c r="C3" s="2"/>
      <c r="D3" s="2"/>
      <c r="E3" s="2"/>
      <c r="F3" s="2"/>
    </row>
    <row r="5" customFormat="false" ht="25.5" hidden="false" customHeight="true" outlineLevel="0" collapsed="false">
      <c r="B5" s="3" t="s">
        <v>2</v>
      </c>
      <c r="C5" s="3"/>
      <c r="D5" s="3"/>
      <c r="E5" s="3"/>
      <c r="F5" s="3"/>
    </row>
    <row r="6" customFormat="false" ht="21.75" hidden="false" customHeight="true" outlineLevel="0" collapsed="false">
      <c r="B6" s="4" t="s">
        <v>3</v>
      </c>
      <c r="C6" s="5" t="s">
        <v>4</v>
      </c>
      <c r="E6" s="4" t="s">
        <v>5</v>
      </c>
      <c r="F6" s="5" t="s">
        <v>6</v>
      </c>
    </row>
    <row r="7" customFormat="false" ht="21.75" hidden="false" customHeight="true" outlineLevel="0" collapsed="false">
      <c r="B7" s="4" t="s">
        <v>7</v>
      </c>
      <c r="C7" s="5" t="s">
        <v>8</v>
      </c>
      <c r="E7" s="4" t="s">
        <v>9</v>
      </c>
      <c r="F7" s="5" t="n">
        <v>2025</v>
      </c>
    </row>
    <row r="8" customFormat="false" ht="21.75" hidden="false" customHeight="true" outlineLevel="0" collapsed="false">
      <c r="B8" s="4" t="s">
        <v>10</v>
      </c>
      <c r="C8" s="5" t="s">
        <v>11</v>
      </c>
      <c r="E8" s="4" t="s">
        <v>12</v>
      </c>
      <c r="F8" s="5" t="n">
        <v>3</v>
      </c>
    </row>
    <row r="10" customFormat="false" ht="25.5" hidden="false" customHeight="true" outlineLevel="0" collapsed="false">
      <c r="B10" s="3" t="s">
        <v>13</v>
      </c>
      <c r="C10" s="3"/>
      <c r="D10" s="3"/>
      <c r="E10" s="3"/>
      <c r="F10" s="3"/>
    </row>
    <row r="11" customFormat="false" ht="21.75" hidden="false" customHeight="true" outlineLevel="0" collapsed="false">
      <c r="B11" s="4" t="s">
        <v>14</v>
      </c>
      <c r="C11" s="5" t="n">
        <v>24</v>
      </c>
      <c r="E11" s="4" t="s">
        <v>15</v>
      </c>
      <c r="F11" s="5" t="n">
        <v>14</v>
      </c>
    </row>
    <row r="12" customFormat="false" ht="21.75" hidden="false" customHeight="true" outlineLevel="0" collapsed="false">
      <c r="B12" s="4" t="s">
        <v>16</v>
      </c>
      <c r="C12" s="5" t="n">
        <v>64.7</v>
      </c>
      <c r="E12" s="4" t="s">
        <v>17</v>
      </c>
      <c r="F12" s="5" t="n">
        <v>280</v>
      </c>
    </row>
    <row r="13" customFormat="false" ht="21.75" hidden="false" customHeight="true" outlineLevel="0" collapsed="false">
      <c r="B13" s="4" t="s">
        <v>18</v>
      </c>
      <c r="C13" s="5" t="s">
        <v>19</v>
      </c>
      <c r="E13" s="4" t="s">
        <v>20</v>
      </c>
      <c r="F13" s="5" t="n">
        <v>14.2</v>
      </c>
    </row>
    <row r="14" customFormat="false" ht="18" hidden="false" customHeight="true" outlineLevel="0" collapsed="false">
      <c r="B14" s="6" t="s">
        <v>21</v>
      </c>
      <c r="C14" s="6"/>
      <c r="D14" s="6"/>
      <c r="E14" s="6"/>
      <c r="F14" s="6"/>
    </row>
    <row r="16" customFormat="false" ht="25.5" hidden="false" customHeight="true" outlineLevel="0" collapsed="false">
      <c r="B16" s="3" t="s">
        <v>22</v>
      </c>
      <c r="C16" s="3"/>
      <c r="D16" s="3"/>
      <c r="E16" s="3"/>
      <c r="F16" s="3"/>
    </row>
    <row r="17" customFormat="false" ht="21.75" hidden="false" customHeight="true" outlineLevel="0" collapsed="false">
      <c r="B17" s="4" t="s">
        <v>23</v>
      </c>
      <c r="C17" s="5" t="n">
        <v>77.1</v>
      </c>
      <c r="E17" s="4" t="s">
        <v>24</v>
      </c>
      <c r="F17" s="5" t="s">
        <v>25</v>
      </c>
    </row>
    <row r="18" customFormat="false" ht="21.75" hidden="false" customHeight="true" outlineLevel="0" collapsed="false">
      <c r="B18" s="4" t="s">
        <v>26</v>
      </c>
      <c r="C18" s="5" t="s">
        <v>27</v>
      </c>
      <c r="E18" s="4" t="s">
        <v>28</v>
      </c>
      <c r="F18" s="5" t="n">
        <v>42.8</v>
      </c>
    </row>
    <row r="19" customFormat="false" ht="21.75" hidden="false" customHeight="true" outlineLevel="0" collapsed="false">
      <c r="B19" s="4" t="s">
        <v>29</v>
      </c>
      <c r="C19" s="5" t="s">
        <v>30</v>
      </c>
    </row>
    <row r="21" customFormat="false" ht="25.5" hidden="false" customHeight="true" outlineLevel="0" collapsed="false">
      <c r="B21" s="3" t="s">
        <v>31</v>
      </c>
      <c r="C21" s="3"/>
      <c r="D21" s="3"/>
      <c r="E21" s="3"/>
      <c r="F21" s="3"/>
    </row>
    <row r="22" customFormat="false" ht="24" hidden="false" customHeight="true" outlineLevel="0" collapsed="false">
      <c r="B22" s="7" t="s">
        <v>32</v>
      </c>
      <c r="C22" s="7" t="s">
        <v>33</v>
      </c>
      <c r="E22" s="7" t="s">
        <v>32</v>
      </c>
      <c r="F22" s="7" t="s">
        <v>34</v>
      </c>
    </row>
    <row r="23" customFormat="false" ht="19.5" hidden="false" customHeight="true" outlineLevel="0" collapsed="false">
      <c r="B23" s="8" t="s">
        <v>35</v>
      </c>
      <c r="C23" s="5" t="n">
        <v>24.7</v>
      </c>
      <c r="E23" s="8" t="s">
        <v>35</v>
      </c>
      <c r="F23" s="5" t="s">
        <v>36</v>
      </c>
    </row>
    <row r="24" customFormat="false" ht="19.5" hidden="false" customHeight="true" outlineLevel="0" collapsed="false">
      <c r="B24" s="8" t="s">
        <v>37</v>
      </c>
      <c r="C24" s="5" t="n">
        <v>29.2</v>
      </c>
      <c r="E24" s="8" t="s">
        <v>37</v>
      </c>
      <c r="F24" s="5" t="s">
        <v>38</v>
      </c>
    </row>
    <row r="25" customFormat="false" ht="19.5" hidden="false" customHeight="true" outlineLevel="0" collapsed="false">
      <c r="B25" s="8" t="s">
        <v>39</v>
      </c>
      <c r="C25" s="5" t="n">
        <v>10.8</v>
      </c>
      <c r="E25" s="8" t="s">
        <v>39</v>
      </c>
      <c r="F25" s="5" t="s">
        <v>40</v>
      </c>
    </row>
    <row r="26" customFormat="false" ht="19.5" hidden="false" customHeight="true" outlineLevel="0" collapsed="false">
      <c r="B26" s="8" t="s">
        <v>41</v>
      </c>
      <c r="C26" s="5" t="n">
        <v>0</v>
      </c>
      <c r="E26" s="8" t="s">
        <v>41</v>
      </c>
      <c r="F26" s="5" t="s">
        <v>42</v>
      </c>
    </row>
    <row r="27" customFormat="false" ht="19.5" hidden="false" customHeight="true" outlineLevel="0" collapsed="false">
      <c r="B27" s="8" t="s">
        <v>43</v>
      </c>
      <c r="C27" s="5" t="n">
        <v>0</v>
      </c>
      <c r="E27" s="8" t="s">
        <v>43</v>
      </c>
      <c r="F27" s="5" t="s">
        <v>44</v>
      </c>
    </row>
    <row r="28" customFormat="false" ht="18" hidden="false" customHeight="true" outlineLevel="0" collapsed="false">
      <c r="B28" s="6" t="s">
        <v>45</v>
      </c>
      <c r="C28" s="6"/>
      <c r="D28" s="6"/>
      <c r="E28" s="6"/>
      <c r="F28" s="6"/>
    </row>
    <row r="30" customFormat="false" ht="25.5" hidden="false" customHeight="true" outlineLevel="0" collapsed="false">
      <c r="B30" s="3" t="s">
        <v>46</v>
      </c>
      <c r="C30" s="3"/>
      <c r="D30" s="3"/>
      <c r="E30" s="3"/>
      <c r="F30" s="3"/>
    </row>
    <row r="31" customFormat="false" ht="21.75" hidden="false" customHeight="true" outlineLevel="0" collapsed="false">
      <c r="B31" s="7" t="s">
        <v>47</v>
      </c>
      <c r="C31" s="7" t="s">
        <v>48</v>
      </c>
      <c r="E31" s="7" t="s">
        <v>47</v>
      </c>
      <c r="F31" s="7" t="s">
        <v>48</v>
      </c>
    </row>
    <row r="32" customFormat="false" ht="19.5" hidden="false" customHeight="true" outlineLevel="0" collapsed="false">
      <c r="B32" s="9" t="s">
        <v>49</v>
      </c>
      <c r="C32" s="10" t="n">
        <v>1.34</v>
      </c>
      <c r="E32" s="9" t="s">
        <v>50</v>
      </c>
      <c r="F32" s="10" t="n">
        <v>3.12</v>
      </c>
    </row>
    <row r="33" customFormat="false" ht="19.5" hidden="false" customHeight="true" outlineLevel="0" collapsed="false">
      <c r="B33" s="9" t="s">
        <v>51</v>
      </c>
      <c r="C33" s="10" t="n">
        <v>34.3</v>
      </c>
      <c r="E33" s="9" t="s">
        <v>52</v>
      </c>
      <c r="F33" s="10" t="n">
        <v>1.47</v>
      </c>
    </row>
    <row r="34" customFormat="false" ht="19.5" hidden="false" customHeight="true" outlineLevel="0" collapsed="false">
      <c r="B34" s="9" t="s">
        <v>53</v>
      </c>
      <c r="C34" s="10" t="n">
        <v>44.7</v>
      </c>
      <c r="E34" s="9" t="s">
        <v>54</v>
      </c>
      <c r="F34" s="10" t="n">
        <v>0.23</v>
      </c>
    </row>
    <row r="35" customFormat="false" ht="19.5" hidden="false" customHeight="true" outlineLevel="0" collapsed="false">
      <c r="B35" s="9" t="s">
        <v>55</v>
      </c>
      <c r="C35" s="10" t="n">
        <v>13.8</v>
      </c>
      <c r="E35" s="9" t="s">
        <v>56</v>
      </c>
      <c r="F35" s="10" t="n">
        <v>1.08</v>
      </c>
    </row>
    <row r="36" customFormat="false" ht="21.75" hidden="false" customHeight="true" outlineLevel="0" collapsed="false">
      <c r="B36" s="11" t="s">
        <v>57</v>
      </c>
      <c r="C36" s="12" t="n">
        <f aca="false">SUM(C32:C35)+SUM(F32:F35)</f>
        <v>100.04</v>
      </c>
      <c r="D36" s="6" t="s">
        <v>58</v>
      </c>
      <c r="E36" s="6"/>
      <c r="F36" s="6"/>
    </row>
    <row r="38" customFormat="false" ht="25.5" hidden="false" customHeight="true" outlineLevel="0" collapsed="false">
      <c r="B38" s="3" t="s">
        <v>59</v>
      </c>
      <c r="C38" s="3"/>
      <c r="D38" s="3"/>
      <c r="E38" s="3"/>
      <c r="F38" s="3"/>
    </row>
    <row r="39" customFormat="false" ht="21.75" hidden="false" customHeight="true" outlineLevel="0" collapsed="false">
      <c r="B39" s="7" t="s">
        <v>47</v>
      </c>
      <c r="C39" s="7" t="s">
        <v>48</v>
      </c>
      <c r="E39" s="7" t="s">
        <v>47</v>
      </c>
      <c r="F39" s="7" t="s">
        <v>48</v>
      </c>
    </row>
    <row r="40" customFormat="false" ht="19.5" hidden="false" customHeight="true" outlineLevel="0" collapsed="false">
      <c r="B40" s="9" t="s">
        <v>49</v>
      </c>
      <c r="C40" s="10" t="n">
        <v>1.54</v>
      </c>
      <c r="E40" s="9" t="s">
        <v>50</v>
      </c>
      <c r="F40" s="10" t="n">
        <v>13.9</v>
      </c>
    </row>
    <row r="41" customFormat="false" ht="19.5" hidden="false" customHeight="true" outlineLevel="0" collapsed="false">
      <c r="B41" s="9" t="s">
        <v>51</v>
      </c>
      <c r="C41" s="10" t="n">
        <v>4.21</v>
      </c>
      <c r="E41" s="9" t="s">
        <v>52</v>
      </c>
      <c r="F41" s="10" t="n">
        <v>0</v>
      </c>
    </row>
    <row r="42" customFormat="false" ht="19.5" hidden="false" customHeight="true" outlineLevel="0" collapsed="false">
      <c r="B42" s="9" t="s">
        <v>53</v>
      </c>
      <c r="C42" s="10" t="n">
        <v>6.9</v>
      </c>
      <c r="E42" s="9" t="s">
        <v>54</v>
      </c>
      <c r="F42" s="10" t="n">
        <v>0</v>
      </c>
    </row>
    <row r="43" customFormat="false" ht="19.5" hidden="false" customHeight="true" outlineLevel="0" collapsed="false">
      <c r="B43" s="9" t="s">
        <v>55</v>
      </c>
      <c r="C43" s="10" t="n">
        <v>18.6</v>
      </c>
      <c r="E43" s="9" t="s">
        <v>56</v>
      </c>
      <c r="F43" s="10" t="n">
        <v>0</v>
      </c>
    </row>
    <row r="44" customFormat="false" ht="21.75" hidden="false" customHeight="true" outlineLevel="0" collapsed="false">
      <c r="B44" s="11" t="s">
        <v>57</v>
      </c>
      <c r="C44" s="12" t="n">
        <f aca="false">SUM(C40:C43)+SUM(F40:F43)</f>
        <v>45.15</v>
      </c>
      <c r="D44" s="6" t="s">
        <v>58</v>
      </c>
      <c r="E44" s="6"/>
      <c r="F44" s="6"/>
    </row>
    <row r="46" customFormat="false" ht="25.5" hidden="false" customHeight="true" outlineLevel="0" collapsed="false">
      <c r="B46" s="3" t="s">
        <v>60</v>
      </c>
      <c r="C46" s="3"/>
      <c r="D46" s="3"/>
      <c r="E46" s="3"/>
      <c r="F46" s="3"/>
    </row>
    <row r="47" customFormat="false" ht="19.5" hidden="false" customHeight="true" outlineLevel="0" collapsed="false">
      <c r="B47" s="4" t="s">
        <v>61</v>
      </c>
    </row>
    <row r="48" customFormat="false" ht="21.75" hidden="false" customHeight="true" outlineLevel="0" collapsed="false">
      <c r="B48" s="13" t="s">
        <v>62</v>
      </c>
      <c r="C48" s="13"/>
      <c r="D48" s="13"/>
      <c r="E48" s="13"/>
      <c r="F48" s="13"/>
    </row>
    <row r="49" customFormat="false" ht="21.75" hidden="false" customHeight="true" outlineLevel="0" collapsed="false">
      <c r="B49" s="13"/>
      <c r="C49" s="13"/>
      <c r="D49" s="13"/>
      <c r="E49" s="13"/>
      <c r="F49" s="13"/>
    </row>
    <row r="50" customFormat="false" ht="21.75" hidden="false" customHeight="true" outlineLevel="0" collapsed="false">
      <c r="B50" s="13"/>
      <c r="C50" s="13"/>
      <c r="D50" s="13"/>
      <c r="E50" s="13"/>
      <c r="F50" s="13"/>
    </row>
    <row r="51" customFormat="false" ht="21.75" hidden="false" customHeight="true" outlineLevel="0" collapsed="false">
      <c r="B51" s="13"/>
      <c r="C51" s="13"/>
      <c r="D51" s="13"/>
      <c r="E51" s="13"/>
      <c r="F51" s="13"/>
    </row>
    <row r="52" customFormat="false" ht="21.75" hidden="false" customHeight="true" outlineLevel="0" collapsed="false">
      <c r="B52" s="13"/>
      <c r="C52" s="13"/>
      <c r="D52" s="13"/>
      <c r="E52" s="13"/>
      <c r="F52" s="13"/>
    </row>
    <row r="53" customFormat="false" ht="21.75" hidden="false" customHeight="true" outlineLevel="0" collapsed="false">
      <c r="B53" s="13"/>
      <c r="C53" s="13"/>
      <c r="D53" s="13"/>
      <c r="E53" s="13"/>
      <c r="F53" s="13"/>
    </row>
    <row r="55" customFormat="false" ht="19.5" hidden="false" customHeight="true" outlineLevel="0" collapsed="false">
      <c r="B55" s="4" t="s">
        <v>63</v>
      </c>
    </row>
    <row r="56" customFormat="false" ht="21.75" hidden="false" customHeight="true" outlineLevel="0" collapsed="false">
      <c r="B56" s="13" t="s">
        <v>64</v>
      </c>
      <c r="C56" s="13"/>
      <c r="D56" s="13"/>
      <c r="E56" s="13"/>
      <c r="F56" s="13"/>
    </row>
    <row r="57" customFormat="false" ht="21.75" hidden="false" customHeight="true" outlineLevel="0" collapsed="false">
      <c r="B57" s="13"/>
      <c r="C57" s="13"/>
      <c r="D57" s="13"/>
      <c r="E57" s="13"/>
      <c r="F57" s="13"/>
    </row>
    <row r="58" customFormat="false" ht="21.75" hidden="false" customHeight="true" outlineLevel="0" collapsed="false">
      <c r="B58" s="13"/>
      <c r="C58" s="13"/>
      <c r="D58" s="13"/>
      <c r="E58" s="13"/>
      <c r="F58" s="13"/>
    </row>
    <row r="59" customFormat="false" ht="21.75" hidden="false" customHeight="true" outlineLevel="0" collapsed="false">
      <c r="B59" s="13"/>
      <c r="C59" s="13"/>
      <c r="D59" s="13"/>
      <c r="E59" s="13"/>
      <c r="F59" s="13"/>
    </row>
    <row r="60" customFormat="false" ht="21.75" hidden="false" customHeight="true" outlineLevel="0" collapsed="false">
      <c r="B60" s="13"/>
      <c r="C60" s="13"/>
      <c r="D60" s="13"/>
      <c r="E60" s="13"/>
      <c r="F60" s="13"/>
    </row>
    <row r="61" customFormat="false" ht="21.75" hidden="false" customHeight="true" outlineLevel="0" collapsed="false">
      <c r="B61" s="13"/>
      <c r="C61" s="13"/>
      <c r="D61" s="13"/>
      <c r="E61" s="13"/>
      <c r="F61" s="13"/>
    </row>
    <row r="63" customFormat="false" ht="25.5" hidden="false" customHeight="true" outlineLevel="0" collapsed="false">
      <c r="B63" s="3" t="s">
        <v>65</v>
      </c>
      <c r="C63" s="3"/>
      <c r="D63" s="3"/>
      <c r="E63" s="3"/>
      <c r="F63" s="3"/>
    </row>
    <row r="64" customFormat="false" ht="21.75" hidden="false" customHeight="true" outlineLevel="0" collapsed="false">
      <c r="B64" s="7" t="s">
        <v>66</v>
      </c>
      <c r="C64" s="7" t="s">
        <v>67</v>
      </c>
      <c r="E64" s="7" t="s">
        <v>66</v>
      </c>
      <c r="F64" s="7" t="s">
        <v>67</v>
      </c>
    </row>
    <row r="65" customFormat="false" ht="19.5" hidden="false" customHeight="true" outlineLevel="0" collapsed="false">
      <c r="B65" s="9" t="s">
        <v>68</v>
      </c>
      <c r="C65" s="14" t="n">
        <v>226</v>
      </c>
      <c r="E65" s="9" t="s">
        <v>69</v>
      </c>
      <c r="F65" s="14" t="n">
        <v>0</v>
      </c>
    </row>
    <row r="66" customFormat="false" ht="19.5" hidden="false" customHeight="true" outlineLevel="0" collapsed="false">
      <c r="B66" s="9" t="s">
        <v>70</v>
      </c>
      <c r="C66" s="14" t="n">
        <v>77.1</v>
      </c>
      <c r="E66" s="9" t="s">
        <v>71</v>
      </c>
      <c r="F66" s="14" t="n">
        <v>0</v>
      </c>
    </row>
    <row r="67" customFormat="false" ht="19.5" hidden="false" customHeight="true" outlineLevel="0" collapsed="false">
      <c r="B67" s="9" t="s">
        <v>6</v>
      </c>
      <c r="C67" s="14" t="n">
        <v>64.7</v>
      </c>
      <c r="E67" s="9" t="s">
        <v>72</v>
      </c>
      <c r="F67" s="14" t="n">
        <v>0</v>
      </c>
    </row>
    <row r="68" customFormat="false" ht="19.5" hidden="false" customHeight="true" outlineLevel="0" collapsed="false">
      <c r="B68" s="9" t="s">
        <v>73</v>
      </c>
      <c r="C68" s="14" t="n">
        <v>0</v>
      </c>
      <c r="E68" s="9" t="s">
        <v>74</v>
      </c>
      <c r="F68" s="14" t="n">
        <v>0</v>
      </c>
    </row>
    <row r="69" customFormat="false" ht="19.5" hidden="false" customHeight="true" outlineLevel="0" collapsed="false">
      <c r="B69" s="9" t="s">
        <v>75</v>
      </c>
      <c r="C69" s="14" t="n">
        <v>0</v>
      </c>
      <c r="E69" s="9" t="s">
        <v>76</v>
      </c>
      <c r="F69" s="14" t="n">
        <v>0</v>
      </c>
    </row>
    <row r="70" customFormat="false" ht="19.5" hidden="false" customHeight="true" outlineLevel="0" collapsed="false">
      <c r="B70" s="9" t="s">
        <v>77</v>
      </c>
      <c r="C70" s="14" t="n">
        <v>0</v>
      </c>
      <c r="E70" s="9" t="s">
        <v>78</v>
      </c>
      <c r="F70" s="14" t="n">
        <v>0</v>
      </c>
    </row>
    <row r="71" customFormat="false" ht="18" hidden="false" customHeight="true" outlineLevel="0" collapsed="false">
      <c r="B71" s="6" t="s">
        <v>79</v>
      </c>
      <c r="C71" s="6"/>
      <c r="D71" s="6"/>
      <c r="E71" s="6"/>
      <c r="F71" s="6"/>
    </row>
    <row r="73" customFormat="false" ht="25.5" hidden="false" customHeight="true" outlineLevel="0" collapsed="false">
      <c r="B73" s="15" t="s">
        <v>80</v>
      </c>
      <c r="C73" s="15"/>
      <c r="D73" s="15"/>
      <c r="E73" s="15"/>
      <c r="F73" s="15"/>
    </row>
  </sheetData>
  <mergeCells count="18">
    <mergeCell ref="B2:F2"/>
    <mergeCell ref="B3:F3"/>
    <mergeCell ref="B5:F5"/>
    <mergeCell ref="B10:F10"/>
    <mergeCell ref="B14:F14"/>
    <mergeCell ref="B16:F16"/>
    <mergeCell ref="B21:F21"/>
    <mergeCell ref="B28:F28"/>
    <mergeCell ref="B30:F30"/>
    <mergeCell ref="D36:F36"/>
    <mergeCell ref="B38:F38"/>
    <mergeCell ref="D44:F44"/>
    <mergeCell ref="B46:F46"/>
    <mergeCell ref="B48:F53"/>
    <mergeCell ref="B56:F61"/>
    <mergeCell ref="B63:F63"/>
    <mergeCell ref="B71:F71"/>
    <mergeCell ref="B73:F7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M54"/>
  <sheetViews>
    <sheetView showFormulas="false" showGridLines="false" showRowColHeaders="true" showZeros="true" rightToLeft="false" tabSelected="false" showOutlineSymbols="true" defaultGridColor="true" view="normal" topLeftCell="A1" colorId="64" zoomScale="90" zoomScaleNormal="9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51"/>
    <col collapsed="false" customWidth="true" hidden="false" outlineLevel="0" max="13" min="2" style="0" width="11"/>
    <col collapsed="false" customWidth="true" hidden="false" outlineLevel="0" max="14" min="14" style="0" width="1.51"/>
  </cols>
  <sheetData>
    <row r="1" customFormat="false" ht="6" hidden="false" customHeight="true" outlineLevel="0" collapsed="false"/>
    <row r="2" customFormat="false" ht="49.5" hidden="false" customHeight="true" outlineLevel="0" collapsed="false">
      <c r="B2" s="16" t="s">
        <v>81</v>
      </c>
      <c r="C2" s="16"/>
      <c r="D2" s="16"/>
      <c r="E2" s="16"/>
      <c r="F2" s="16"/>
      <c r="G2" s="16"/>
      <c r="H2" s="16"/>
      <c r="I2" s="16"/>
      <c r="J2" s="16"/>
      <c r="K2" s="16"/>
      <c r="L2" s="16"/>
      <c r="M2" s="16"/>
    </row>
    <row r="3" customFormat="false" ht="21.75" hidden="false" customHeight="true" outlineLevel="0" collapsed="false">
      <c r="B3" s="17" t="s">
        <v>82</v>
      </c>
      <c r="C3" s="17"/>
      <c r="D3" s="17"/>
      <c r="E3" s="17"/>
      <c r="F3" s="17"/>
      <c r="G3" s="17"/>
      <c r="H3" s="17"/>
      <c r="I3" s="17"/>
      <c r="J3" s="17"/>
      <c r="K3" s="17"/>
      <c r="L3" s="17"/>
      <c r="M3" s="17"/>
    </row>
    <row r="4" customFormat="false" ht="7.5" hidden="false" customHeight="true" outlineLevel="0" collapsed="false"/>
    <row r="5" customFormat="false" ht="36" hidden="false" customHeight="true" outlineLevel="0" collapsed="false">
      <c r="B5" s="18" t="str">
        <f aca="false">CONCATENATE("REPORTE MENSUAL  ·  ", INPUTS!F6, " ", INPUTS!F7)</f>
        <v>REPORTE MENSUAL  ·  MARZO 2025</v>
      </c>
      <c r="C5" s="18"/>
      <c r="D5" s="18"/>
      <c r="E5" s="18"/>
      <c r="F5" s="18"/>
      <c r="G5" s="18"/>
      <c r="H5" s="18"/>
      <c r="I5" s="18"/>
      <c r="J5" s="18"/>
      <c r="K5" s="18"/>
      <c r="L5" s="18"/>
      <c r="M5" s="18"/>
    </row>
    <row r="6" customFormat="false" ht="7.5" hidden="false" customHeight="true" outlineLevel="0" collapsed="false"/>
    <row r="7" customFormat="false" ht="21.75" hidden="false" customHeight="true" outlineLevel="0" collapsed="false">
      <c r="B7" s="19" t="str">
        <f aca="false">CONCATENATE("ATLETA: ", INPUTS!C6)</f>
        <v>ATLETA: JAIME MARTINEZ</v>
      </c>
      <c r="C7" s="19"/>
      <c r="D7" s="19"/>
      <c r="E7" s="19"/>
      <c r="F7" s="19" t="str">
        <f aca="false">CONCATENATE("OBJETIVO: ", INPUTS!C7)</f>
        <v>OBJETIVO: MEDIA MARATÓN - ULTRA</v>
      </c>
      <c r="G7" s="19"/>
      <c r="H7" s="19"/>
      <c r="I7" s="19"/>
      <c r="J7" s="19" t="str">
        <f aca="false">CONCATENATE("INICIO PLAN: ", INPUTS!C8)</f>
        <v>INICIO PLAN: 28/07/2025</v>
      </c>
      <c r="K7" s="19"/>
      <c r="L7" s="19"/>
      <c r="M7" s="19"/>
    </row>
    <row r="8" customFormat="false" ht="7.5" hidden="false" customHeight="true" outlineLevel="0" collapsed="false"/>
    <row r="9" customFormat="false" ht="21.75" hidden="false" customHeight="true" outlineLevel="0" collapsed="false">
      <c r="B9" s="20" t="s">
        <v>83</v>
      </c>
      <c r="C9" s="20"/>
      <c r="D9" s="20"/>
      <c r="E9" s="20" t="s">
        <v>67</v>
      </c>
      <c r="F9" s="20"/>
      <c r="G9" s="20"/>
      <c r="H9" s="20" t="s">
        <v>84</v>
      </c>
      <c r="I9" s="20"/>
      <c r="J9" s="20"/>
      <c r="K9" s="20" t="s">
        <v>85</v>
      </c>
      <c r="L9" s="20"/>
      <c r="M9" s="20"/>
    </row>
    <row r="10" customFormat="false" ht="37.5" hidden="false" customHeight="true" outlineLevel="0" collapsed="false">
      <c r="B10" s="21" t="n">
        <f aca="false">IFERROR(INPUTS!F11/INPUTS!C11,0)</f>
        <v>0.583333333333333</v>
      </c>
      <c r="C10" s="21"/>
      <c r="D10" s="21"/>
      <c r="E10" s="22" t="n">
        <f aca="false">INPUTS!C12</f>
        <v>64.7</v>
      </c>
      <c r="F10" s="22"/>
      <c r="G10" s="22"/>
      <c r="H10" s="23" t="str">
        <f aca="false">INPUTS!C13</f>
        <v>11:45:36</v>
      </c>
      <c r="I10" s="23"/>
      <c r="J10" s="23"/>
      <c r="K10" s="23" t="str">
        <f aca="false">CONCATENATE(INPUTS!F12," m")</f>
        <v>280 m</v>
      </c>
      <c r="L10" s="23"/>
      <c r="M10" s="23"/>
    </row>
    <row r="11" customFormat="false" ht="18" hidden="false" customHeight="true" outlineLevel="0" collapsed="false">
      <c r="B11" s="24" t="str">
        <f aca="false">CONCATENATE(INPUTS!F11," / ",INPUTS!C11," entrenos")</f>
        <v>14 / 24 entrenos</v>
      </c>
      <c r="C11" s="24"/>
      <c r="D11" s="24"/>
      <c r="E11" s="24" t="s">
        <v>86</v>
      </c>
      <c r="F11" s="24"/>
      <c r="G11" s="24"/>
      <c r="H11" s="24" t="s">
        <v>87</v>
      </c>
      <c r="I11" s="24"/>
      <c r="J11" s="24"/>
      <c r="K11" s="24" t="s">
        <v>88</v>
      </c>
      <c r="L11" s="24"/>
      <c r="M11" s="24"/>
    </row>
    <row r="12" customFormat="false" ht="12" hidden="false" customHeight="true" outlineLevel="0" collapsed="false"/>
    <row r="13" customFormat="false" ht="27.75" hidden="false" customHeight="true" outlineLevel="0" collapsed="false">
      <c r="B13" s="3" t="s">
        <v>89</v>
      </c>
      <c r="C13" s="3"/>
      <c r="D13" s="3"/>
      <c r="E13" s="3"/>
      <c r="F13" s="3"/>
      <c r="G13" s="3"/>
      <c r="H13" s="3"/>
      <c r="I13" s="3"/>
      <c r="J13" s="3"/>
      <c r="K13" s="3"/>
      <c r="L13" s="3"/>
      <c r="M13" s="3"/>
    </row>
    <row r="14" customFormat="false" ht="24" hidden="false" customHeight="true" outlineLevel="0" collapsed="false">
      <c r="B14" s="25" t="s">
        <v>90</v>
      </c>
      <c r="C14" s="25"/>
      <c r="D14" s="25"/>
      <c r="E14" s="25" t="s">
        <v>91</v>
      </c>
      <c r="F14" s="25"/>
      <c r="G14" s="25" t="s">
        <v>92</v>
      </c>
      <c r="H14" s="25"/>
      <c r="I14" s="25" t="s">
        <v>93</v>
      </c>
      <c r="J14" s="25"/>
      <c r="K14" s="25" t="s">
        <v>94</v>
      </c>
      <c r="L14" s="25"/>
      <c r="M14" s="25"/>
    </row>
    <row r="15" customFormat="false" ht="24" hidden="false" customHeight="true" outlineLevel="0" collapsed="false">
      <c r="B15" s="26" t="s">
        <v>95</v>
      </c>
      <c r="C15" s="26"/>
      <c r="D15" s="26"/>
      <c r="E15" s="27" t="n">
        <f aca="false">INPUTS!C17</f>
        <v>77.1</v>
      </c>
      <c r="F15" s="27"/>
      <c r="G15" s="27" t="n">
        <f aca="false">INPUTS!C12</f>
        <v>64.7</v>
      </c>
      <c r="H15" s="27"/>
      <c r="I15" s="28" t="n">
        <f aca="false">G15-E15</f>
        <v>-12.4</v>
      </c>
      <c r="J15" s="28"/>
      <c r="K15" s="29" t="n">
        <f aca="false">IFERROR((G15-E15)/E15,0)</f>
        <v>-0.16083009079118</v>
      </c>
      <c r="L15" s="29"/>
      <c r="M15" s="29"/>
    </row>
    <row r="16" customFormat="false" ht="24" hidden="false" customHeight="true" outlineLevel="0" collapsed="false">
      <c r="B16" s="30" t="s">
        <v>96</v>
      </c>
      <c r="C16" s="30"/>
      <c r="D16" s="30"/>
      <c r="E16" s="31" t="str">
        <f aca="false">INPUTS!F17</f>
        <v>9:19:55</v>
      </c>
      <c r="F16" s="31"/>
      <c r="G16" s="31" t="str">
        <f aca="false">INPUTS!C13</f>
        <v>11:45:36</v>
      </c>
      <c r="H16" s="31"/>
      <c r="I16" s="32" t="s">
        <v>97</v>
      </c>
      <c r="J16" s="32"/>
      <c r="K16" s="32" t="s">
        <v>97</v>
      </c>
      <c r="L16" s="32"/>
      <c r="M16" s="32"/>
    </row>
    <row r="17" customFormat="false" ht="24" hidden="false" customHeight="true" outlineLevel="0" collapsed="false">
      <c r="B17" s="26" t="s">
        <v>98</v>
      </c>
      <c r="C17" s="26"/>
      <c r="D17" s="26"/>
      <c r="E17" s="33" t="str">
        <f aca="false">INPUTS!C18</f>
        <v>07:16</v>
      </c>
      <c r="F17" s="33"/>
      <c r="G17" s="33" t="str">
        <f aca="false">INPUTS!C19</f>
        <v>05:11</v>
      </c>
      <c r="H17" s="33"/>
      <c r="I17" s="34" t="s">
        <v>97</v>
      </c>
      <c r="J17" s="34"/>
      <c r="K17" s="34" t="s">
        <v>97</v>
      </c>
      <c r="L17" s="34"/>
      <c r="M17" s="34"/>
    </row>
    <row r="18" customFormat="false" ht="24" hidden="false" customHeight="true" outlineLevel="0" collapsed="false">
      <c r="B18" s="30" t="s">
        <v>99</v>
      </c>
      <c r="C18" s="30"/>
      <c r="D18" s="30"/>
      <c r="E18" s="35" t="n">
        <f aca="false">INPUTS!F18</f>
        <v>42.8</v>
      </c>
      <c r="F18" s="35"/>
      <c r="G18" s="35" t="n">
        <f aca="false">INPUTS!F13</f>
        <v>14.2</v>
      </c>
      <c r="H18" s="35"/>
      <c r="I18" s="36" t="n">
        <f aca="false">G18-E18</f>
        <v>-28.6</v>
      </c>
      <c r="J18" s="36"/>
      <c r="K18" s="37" t="n">
        <f aca="false">IFERROR((G18-E18)/E18,0)</f>
        <v>-0.668224299065421</v>
      </c>
      <c r="L18" s="37"/>
      <c r="M18" s="37"/>
    </row>
    <row r="20" customFormat="false" ht="27.75" hidden="false" customHeight="true" outlineLevel="0" collapsed="false">
      <c r="B20" s="38" t="s">
        <v>100</v>
      </c>
      <c r="C20" s="38"/>
      <c r="D20" s="38"/>
      <c r="E20" s="38"/>
      <c r="F20" s="38"/>
      <c r="G20" s="38"/>
      <c r="H20" s="38" t="s">
        <v>101</v>
      </c>
      <c r="I20" s="38"/>
      <c r="J20" s="38"/>
      <c r="K20" s="38"/>
      <c r="L20" s="38"/>
      <c r="M20" s="38"/>
    </row>
    <row r="21" customFormat="false" ht="13.5" hidden="false" customHeight="true" outlineLevel="0" collapsed="false"/>
    <row r="22" customFormat="false" ht="13.5" hidden="false" customHeight="true" outlineLevel="0" collapsed="false"/>
    <row r="23" customFormat="false" ht="13.5" hidden="false" customHeight="true" outlineLevel="0" collapsed="false"/>
    <row r="24" customFormat="false" ht="13.5" hidden="false" customHeight="true" outlineLevel="0" collapsed="false"/>
    <row r="25" customFormat="false" ht="13.5" hidden="false" customHeight="true" outlineLevel="0" collapsed="false"/>
    <row r="26" customFormat="false" ht="13.5" hidden="false" customHeight="true" outlineLevel="0" collapsed="false"/>
    <row r="27" customFormat="false" ht="13.5" hidden="false" customHeight="true" outlineLevel="0" collapsed="false"/>
    <row r="28" customFormat="false" ht="13.5" hidden="false" customHeight="true" outlineLevel="0" collapsed="false"/>
    <row r="29" customFormat="false" ht="13.5" hidden="false" customHeight="true" outlineLevel="0" collapsed="false"/>
    <row r="30" customFormat="false" ht="13.5" hidden="false" customHeight="true" outlineLevel="0" collapsed="false"/>
    <row r="31" customFormat="false" ht="13.5" hidden="false" customHeight="true" outlineLevel="0" collapsed="false"/>
    <row r="32" customFormat="false" ht="13.5" hidden="false" customHeight="true" outlineLevel="0" collapsed="false"/>
    <row r="33" customFormat="false" ht="13.5" hidden="false" customHeight="true" outlineLevel="0" collapsed="false"/>
    <row r="34" customFormat="false" ht="13.5" hidden="false" customHeight="true" outlineLevel="0" collapsed="false"/>
    <row r="35" customFormat="false" ht="13.5" hidden="false" customHeight="true" outlineLevel="0" collapsed="false"/>
    <row r="37" customFormat="false" ht="27.75" hidden="false" customHeight="true" outlineLevel="0" collapsed="false">
      <c r="B37" s="38" t="s">
        <v>102</v>
      </c>
      <c r="C37" s="38"/>
      <c r="D37" s="38"/>
      <c r="E37" s="38"/>
      <c r="F37" s="38"/>
      <c r="G37" s="38"/>
      <c r="H37" s="38" t="s">
        <v>103</v>
      </c>
      <c r="I37" s="38"/>
      <c r="J37" s="38"/>
      <c r="K37" s="38"/>
      <c r="L37" s="38"/>
      <c r="M37" s="38"/>
    </row>
    <row r="38" customFormat="false" ht="13.5" hidden="false" customHeight="true" outlineLevel="0" collapsed="false"/>
    <row r="39" customFormat="false" ht="13.5" hidden="false" customHeight="true" outlineLevel="0" collapsed="false"/>
    <row r="40" customFormat="false" ht="13.5" hidden="false" customHeight="true" outlineLevel="0" collapsed="false"/>
    <row r="41" customFormat="false" ht="13.5" hidden="false" customHeight="true" outlineLevel="0" collapsed="false"/>
    <row r="42" customFormat="false" ht="13.5" hidden="false" customHeight="true" outlineLevel="0" collapsed="false"/>
    <row r="43" customFormat="false" ht="13.5" hidden="false" customHeight="true" outlineLevel="0" collapsed="false"/>
    <row r="44" customFormat="false" ht="13.5" hidden="false" customHeight="true" outlineLevel="0" collapsed="false"/>
    <row r="45" customFormat="false" ht="13.5" hidden="false" customHeight="true" outlineLevel="0" collapsed="false"/>
    <row r="46" customFormat="false" ht="13.5" hidden="false" customHeight="true" outlineLevel="0" collapsed="false"/>
    <row r="47" customFormat="false" ht="13.5" hidden="false" customHeight="true" outlineLevel="0" collapsed="false"/>
    <row r="48" customFormat="false" ht="13.5" hidden="false" customHeight="true" outlineLevel="0" collapsed="false"/>
    <row r="49" customFormat="false" ht="13.5" hidden="false" customHeight="true" outlineLevel="0" collapsed="false"/>
    <row r="50" customFormat="false" ht="13.5" hidden="false" customHeight="true" outlineLevel="0" collapsed="false"/>
    <row r="51" customFormat="false" ht="13.5" hidden="false" customHeight="true" outlineLevel="0" collapsed="false"/>
    <row r="52" customFormat="false" ht="13.5" hidden="false" customHeight="true" outlineLevel="0" collapsed="false"/>
    <row r="53" customFormat="false" ht="7.5" hidden="false" customHeight="true" outlineLevel="0" collapsed="false"/>
    <row r="54" customFormat="false" ht="21.75" hidden="false" customHeight="true" outlineLevel="0" collapsed="false">
      <c r="B54" s="39" t="s">
        <v>104</v>
      </c>
      <c r="C54" s="39"/>
      <c r="D54" s="39"/>
      <c r="E54" s="39"/>
      <c r="F54" s="39"/>
      <c r="G54" s="39"/>
      <c r="H54" s="39"/>
      <c r="I54" s="39"/>
      <c r="J54" s="39"/>
      <c r="K54" s="39"/>
      <c r="L54" s="39"/>
      <c r="M54" s="39"/>
    </row>
  </sheetData>
  <mergeCells count="49">
    <mergeCell ref="B2:M2"/>
    <mergeCell ref="B3:M3"/>
    <mergeCell ref="B5:M5"/>
    <mergeCell ref="B7:E7"/>
    <mergeCell ref="F7:I7"/>
    <mergeCell ref="J7:M7"/>
    <mergeCell ref="B9:D9"/>
    <mergeCell ref="E9:G9"/>
    <mergeCell ref="H9:J9"/>
    <mergeCell ref="K9:M9"/>
    <mergeCell ref="B10:D10"/>
    <mergeCell ref="E10:G10"/>
    <mergeCell ref="H10:J10"/>
    <mergeCell ref="K10:M10"/>
    <mergeCell ref="B11:D11"/>
    <mergeCell ref="E11:G11"/>
    <mergeCell ref="H11:J11"/>
    <mergeCell ref="K11:M11"/>
    <mergeCell ref="B13:M13"/>
    <mergeCell ref="B14:D14"/>
    <mergeCell ref="E14:F14"/>
    <mergeCell ref="G14:H14"/>
    <mergeCell ref="I14:J14"/>
    <mergeCell ref="K14:M14"/>
    <mergeCell ref="B15:D15"/>
    <mergeCell ref="E15:F15"/>
    <mergeCell ref="G15:H15"/>
    <mergeCell ref="I15:J15"/>
    <mergeCell ref="K15:M15"/>
    <mergeCell ref="B16:D16"/>
    <mergeCell ref="E16:F16"/>
    <mergeCell ref="G16:H16"/>
    <mergeCell ref="I16:J16"/>
    <mergeCell ref="K16:M16"/>
    <mergeCell ref="B17:D17"/>
    <mergeCell ref="E17:F17"/>
    <mergeCell ref="G17:H17"/>
    <mergeCell ref="I17:J17"/>
    <mergeCell ref="K17:M17"/>
    <mergeCell ref="B18:D18"/>
    <mergeCell ref="E18:F18"/>
    <mergeCell ref="G18:H18"/>
    <mergeCell ref="I18:J18"/>
    <mergeCell ref="K18:M18"/>
    <mergeCell ref="B20:G20"/>
    <mergeCell ref="H20:M20"/>
    <mergeCell ref="B37:G37"/>
    <mergeCell ref="H37:M37"/>
    <mergeCell ref="B54:M54"/>
  </mergeCells>
  <printOptions headings="false" gridLines="false" gridLinesSet="true" horizontalCentered="true" verticalCentered="true"/>
  <pageMargins left="0.1" right="0.1" top="0.1" bottom="0.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M54"/>
  <sheetViews>
    <sheetView showFormulas="false" showGridLines="false" showRowColHeaders="true" showZeros="true" rightToLeft="false" tabSelected="false" showOutlineSymbols="true" defaultGridColor="true" view="normal" topLeftCell="A1" colorId="64" zoomScale="90" zoomScaleNormal="9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51"/>
    <col collapsed="false" customWidth="true" hidden="false" outlineLevel="0" max="13" min="2" style="0" width="11"/>
    <col collapsed="false" customWidth="true" hidden="false" outlineLevel="0" max="14" min="14" style="0" width="1.51"/>
  </cols>
  <sheetData>
    <row r="1" customFormat="false" ht="6" hidden="false" customHeight="true" outlineLevel="0" collapsed="false"/>
    <row r="2" customFormat="false" ht="49.5" hidden="false" customHeight="true" outlineLevel="0" collapsed="false">
      <c r="B2" s="16" t="s">
        <v>81</v>
      </c>
      <c r="C2" s="16"/>
      <c r="D2" s="16"/>
      <c r="E2" s="16"/>
      <c r="F2" s="16"/>
      <c r="G2" s="16"/>
      <c r="H2" s="16"/>
      <c r="I2" s="16"/>
      <c r="J2" s="16"/>
      <c r="K2" s="16"/>
      <c r="L2" s="16"/>
      <c r="M2" s="16"/>
    </row>
    <row r="3" customFormat="false" ht="21.75" hidden="false" customHeight="true" outlineLevel="0" collapsed="false">
      <c r="B3" s="17" t="s">
        <v>82</v>
      </c>
      <c r="C3" s="17"/>
      <c r="D3" s="17"/>
      <c r="E3" s="17"/>
      <c r="F3" s="17"/>
      <c r="G3" s="17"/>
      <c r="H3" s="17"/>
      <c r="I3" s="17"/>
      <c r="J3" s="17"/>
      <c r="K3" s="17"/>
      <c r="L3" s="17"/>
      <c r="M3" s="17"/>
    </row>
    <row r="4" customFormat="false" ht="7.5" hidden="false" customHeight="true" outlineLevel="0" collapsed="false"/>
    <row r="5" customFormat="false" ht="36" hidden="false" customHeight="true" outlineLevel="0" collapsed="false">
      <c r="B5" s="18" t="str">
        <f aca="false">CONCATENATE("RESUMEN ANUAL  ·  ", INPUTS!F7)</f>
        <v>RESUMEN ANUAL  ·  2025</v>
      </c>
      <c r="C5" s="18"/>
      <c r="D5" s="18"/>
      <c r="E5" s="18"/>
      <c r="F5" s="18"/>
      <c r="G5" s="18"/>
      <c r="H5" s="18"/>
      <c r="I5" s="18"/>
      <c r="J5" s="18"/>
      <c r="K5" s="18"/>
      <c r="L5" s="18"/>
      <c r="M5" s="18"/>
    </row>
    <row r="6" customFormat="false" ht="7.5" hidden="false" customHeight="true" outlineLevel="0" collapsed="false"/>
    <row r="7" customFormat="false" ht="21.75" hidden="false" customHeight="true" outlineLevel="0" collapsed="false">
      <c r="B7" s="40" t="str">
        <f aca="false">CONCATENATE("ATLETA: ", INPUTS!C6, "   ·   OBJETIVO: ", INPUTS!C7, "   ·   INICIO PLAN: ", INPUTS!C8)</f>
        <v>ATLETA: JAIME MARTINEZ   ·   OBJETIVO: MEDIA MARATÓN - ULTRA   ·   INICIO PLAN: 28/07/2025</v>
      </c>
      <c r="C7" s="40"/>
      <c r="D7" s="40"/>
      <c r="E7" s="40"/>
      <c r="F7" s="40"/>
      <c r="G7" s="40"/>
      <c r="H7" s="40"/>
      <c r="I7" s="40"/>
      <c r="J7" s="40"/>
      <c r="K7" s="40"/>
      <c r="L7" s="40"/>
      <c r="M7" s="40"/>
    </row>
    <row r="8" customFormat="false" ht="12" hidden="false" customHeight="true" outlineLevel="0" collapsed="false"/>
    <row r="9" customFormat="false" ht="21.75" hidden="false" customHeight="true" outlineLevel="0" collapsed="false">
      <c r="B9" s="20" t="s">
        <v>105</v>
      </c>
      <c r="C9" s="20"/>
      <c r="D9" s="20"/>
      <c r="E9" s="20"/>
      <c r="F9" s="20" t="s">
        <v>106</v>
      </c>
      <c r="G9" s="20"/>
      <c r="H9" s="20"/>
      <c r="I9" s="20"/>
      <c r="J9" s="20" t="s">
        <v>107</v>
      </c>
      <c r="K9" s="20"/>
      <c r="L9" s="20"/>
      <c r="M9" s="20"/>
    </row>
    <row r="10" customFormat="false" ht="37.5" hidden="false" customHeight="true" outlineLevel="0" collapsed="false">
      <c r="B10" s="22" t="n">
        <f aca="false">SUM(_chart_data!J2:J13)</f>
        <v>367.8</v>
      </c>
      <c r="C10" s="22"/>
      <c r="D10" s="22"/>
      <c r="E10" s="22"/>
      <c r="F10" s="22" t="n">
        <f aca="false">IFERROR(SUMIF(_chart_data!J2:J13,"&gt;0")/COUNTIF(_chart_data!J2:J13,"&gt;0"),0)</f>
        <v>122.6</v>
      </c>
      <c r="G10" s="22"/>
      <c r="H10" s="22"/>
      <c r="I10" s="22"/>
      <c r="J10" s="22" t="n">
        <f aca="false">MAX(_chart_data!J2:J13)</f>
        <v>226</v>
      </c>
      <c r="K10" s="22"/>
      <c r="L10" s="22"/>
      <c r="M10" s="22"/>
    </row>
    <row r="11" customFormat="false" ht="18" hidden="false" customHeight="true" outlineLevel="0" collapsed="false">
      <c r="B11" s="24" t="s">
        <v>108</v>
      </c>
      <c r="C11" s="24"/>
      <c r="D11" s="24"/>
      <c r="E11" s="24"/>
      <c r="F11" s="24" t="s">
        <v>109</v>
      </c>
      <c r="G11" s="24"/>
      <c r="H11" s="24"/>
      <c r="I11" s="24"/>
      <c r="J11" s="24" t="s">
        <v>110</v>
      </c>
      <c r="K11" s="24"/>
      <c r="L11" s="24"/>
      <c r="M11" s="24"/>
    </row>
    <row r="12" customFormat="false" ht="12" hidden="false" customHeight="true" outlineLevel="0" collapsed="false"/>
    <row r="13" customFormat="false" ht="27.75" hidden="false" customHeight="true" outlineLevel="0" collapsed="false">
      <c r="B13" s="3" t="s">
        <v>111</v>
      </c>
      <c r="C13" s="3"/>
      <c r="D13" s="3"/>
      <c r="E13" s="3"/>
      <c r="F13" s="3"/>
      <c r="G13" s="3"/>
      <c r="H13" s="3"/>
      <c r="I13" s="3"/>
      <c r="J13" s="3"/>
      <c r="K13" s="3"/>
      <c r="L13" s="3"/>
      <c r="M13" s="3"/>
    </row>
    <row r="14" customFormat="false" ht="13.5" hidden="false" customHeight="true" outlineLevel="0" collapsed="false"/>
    <row r="15" customFormat="false" ht="13.5" hidden="false" customHeight="true" outlineLevel="0" collapsed="false"/>
    <row r="16" customFormat="false" ht="13.5" hidden="false" customHeight="true" outlineLevel="0" collapsed="false"/>
    <row r="17" customFormat="false" ht="13.5" hidden="false" customHeight="true" outlineLevel="0" collapsed="false"/>
    <row r="18" customFormat="false" ht="13.5" hidden="false" customHeight="true" outlineLevel="0" collapsed="false"/>
    <row r="19" customFormat="false" ht="13.5" hidden="false" customHeight="true" outlineLevel="0" collapsed="false"/>
    <row r="20" customFormat="false" ht="13.5" hidden="false" customHeight="true" outlineLevel="0" collapsed="false"/>
    <row r="21" customFormat="false" ht="13.5" hidden="false" customHeight="true" outlineLevel="0" collapsed="false"/>
    <row r="22" customFormat="false" ht="13.5" hidden="false" customHeight="true" outlineLevel="0" collapsed="false"/>
    <row r="23" customFormat="false" ht="13.5" hidden="false" customHeight="true" outlineLevel="0" collapsed="false"/>
    <row r="24" customFormat="false" ht="13.5" hidden="false" customHeight="true" outlineLevel="0" collapsed="false"/>
    <row r="25" customFormat="false" ht="13.5" hidden="false" customHeight="true" outlineLevel="0" collapsed="false"/>
    <row r="26" customFormat="false" ht="13.5" hidden="false" customHeight="true" outlineLevel="0" collapsed="false"/>
    <row r="27" customFormat="false" ht="13.5" hidden="false" customHeight="true" outlineLevel="0" collapsed="false"/>
    <row r="28" customFormat="false" ht="13.5" hidden="false" customHeight="true" outlineLevel="0" collapsed="false"/>
    <row r="29" customFormat="false" ht="13.5" hidden="false" customHeight="true" outlineLevel="0" collapsed="false"/>
    <row r="30" customFormat="false" ht="13.5" hidden="false" customHeight="true" outlineLevel="0" collapsed="false"/>
    <row r="31" customFormat="false" ht="13.5" hidden="false" customHeight="true" outlineLevel="0" collapsed="false"/>
    <row r="33" customFormat="false" ht="27.75" hidden="false" customHeight="true" outlineLevel="0" collapsed="false">
      <c r="B33" s="3" t="s">
        <v>112</v>
      </c>
      <c r="C33" s="3"/>
      <c r="D33" s="3"/>
      <c r="E33" s="3"/>
      <c r="F33" s="3"/>
      <c r="G33" s="3"/>
      <c r="H33" s="3"/>
      <c r="I33" s="3"/>
      <c r="J33" s="3"/>
      <c r="K33" s="3"/>
      <c r="L33" s="3"/>
      <c r="M33" s="3"/>
    </row>
    <row r="34" customFormat="false" ht="18" hidden="false" customHeight="true" outlineLevel="0" collapsed="false">
      <c r="B34" s="41" t="str">
        <f aca="false">INPUTS!B48</f>
        <v>Cerramos un mes de Marzo un tanto complicado, donde no terminamos de encontrar el punto en cuanto a situaciones personales, lesiones y demás. Llegados a este punto, para mí es muy importante que me des feedback de cómo te vas sintiendo y cómo se va desarrollando todo. Me encanta que cuando las cosas van bien, me des ese feedback que la realidad es que regularmente ha sido así, pero ahora que todo está un tanto irregular, cobra mucho más sentido que me expreses todo para buscar una solución, porque de lo contrario, vamos dando "palos de ciego" como aquél que dice. Ánimo con todo y lo dicho, sabes que siempre estoy disponible para ti y mi objetivo siempre es brindarte toda la ayuda que necesites en cualquier momento.</v>
      </c>
      <c r="C34" s="41"/>
      <c r="D34" s="41"/>
      <c r="E34" s="41"/>
      <c r="F34" s="41"/>
      <c r="G34" s="41"/>
      <c r="H34" s="41"/>
      <c r="I34" s="41"/>
      <c r="J34" s="41"/>
      <c r="K34" s="41"/>
      <c r="L34" s="41"/>
      <c r="M34" s="41"/>
    </row>
    <row r="35" customFormat="false" ht="18" hidden="false" customHeight="true" outlineLevel="0" collapsed="false">
      <c r="B35" s="41"/>
      <c r="C35" s="41"/>
      <c r="D35" s="41"/>
      <c r="E35" s="41"/>
      <c r="F35" s="41"/>
      <c r="G35" s="41"/>
      <c r="H35" s="41"/>
      <c r="I35" s="41"/>
      <c r="J35" s="41"/>
      <c r="K35" s="41"/>
      <c r="L35" s="41"/>
      <c r="M35" s="41"/>
    </row>
    <row r="36" customFormat="false" ht="18" hidden="false" customHeight="true" outlineLevel="0" collapsed="false">
      <c r="B36" s="41"/>
      <c r="C36" s="41"/>
      <c r="D36" s="41"/>
      <c r="E36" s="41"/>
      <c r="F36" s="41"/>
      <c r="G36" s="41"/>
      <c r="H36" s="41"/>
      <c r="I36" s="41"/>
      <c r="J36" s="41"/>
      <c r="K36" s="41"/>
      <c r="L36" s="41"/>
      <c r="M36" s="41"/>
    </row>
    <row r="37" customFormat="false" ht="18" hidden="false" customHeight="true" outlineLevel="0" collapsed="false">
      <c r="B37" s="41"/>
      <c r="C37" s="41"/>
      <c r="D37" s="41"/>
      <c r="E37" s="41"/>
      <c r="F37" s="41"/>
      <c r="G37" s="41"/>
      <c r="H37" s="41"/>
      <c r="I37" s="41"/>
      <c r="J37" s="41"/>
      <c r="K37" s="41"/>
      <c r="L37" s="41"/>
      <c r="M37" s="41"/>
    </row>
    <row r="38" customFormat="false" ht="18" hidden="false" customHeight="true" outlineLevel="0" collapsed="false">
      <c r="B38" s="41"/>
      <c r="C38" s="41"/>
      <c r="D38" s="41"/>
      <c r="E38" s="41"/>
      <c r="F38" s="41"/>
      <c r="G38" s="41"/>
      <c r="H38" s="41"/>
      <c r="I38" s="41"/>
      <c r="J38" s="41"/>
      <c r="K38" s="41"/>
      <c r="L38" s="41"/>
      <c r="M38" s="41"/>
    </row>
    <row r="39" customFormat="false" ht="18" hidden="false" customHeight="true" outlineLevel="0" collapsed="false">
      <c r="B39" s="41"/>
      <c r="C39" s="41"/>
      <c r="D39" s="41"/>
      <c r="E39" s="41"/>
      <c r="F39" s="41"/>
      <c r="G39" s="41"/>
      <c r="H39" s="41"/>
      <c r="I39" s="41"/>
      <c r="J39" s="41"/>
      <c r="K39" s="41"/>
      <c r="L39" s="41"/>
      <c r="M39" s="41"/>
    </row>
    <row r="40" customFormat="false" ht="18" hidden="false" customHeight="true" outlineLevel="0" collapsed="false">
      <c r="B40" s="41"/>
      <c r="C40" s="41"/>
      <c r="D40" s="41"/>
      <c r="E40" s="41"/>
      <c r="F40" s="41"/>
      <c r="G40" s="41"/>
      <c r="H40" s="41"/>
      <c r="I40" s="41"/>
      <c r="J40" s="41"/>
      <c r="K40" s="41"/>
      <c r="L40" s="41"/>
      <c r="M40" s="41"/>
    </row>
    <row r="41" customFormat="false" ht="18" hidden="false" customHeight="true" outlineLevel="0" collapsed="false">
      <c r="B41" s="41"/>
      <c r="C41" s="41"/>
      <c r="D41" s="41"/>
      <c r="E41" s="41"/>
      <c r="F41" s="41"/>
      <c r="G41" s="41"/>
      <c r="H41" s="41"/>
      <c r="I41" s="41"/>
      <c r="J41" s="41"/>
      <c r="K41" s="41"/>
      <c r="L41" s="41"/>
      <c r="M41" s="41"/>
    </row>
    <row r="43" customFormat="false" ht="27.75" hidden="false" customHeight="true" outlineLevel="0" collapsed="false">
      <c r="B43" s="3" t="s">
        <v>113</v>
      </c>
      <c r="C43" s="3"/>
      <c r="D43" s="3"/>
      <c r="E43" s="3"/>
      <c r="F43" s="3"/>
      <c r="G43" s="3"/>
      <c r="H43" s="3"/>
      <c r="I43" s="3"/>
      <c r="J43" s="3"/>
      <c r="K43" s="3"/>
      <c r="L43" s="3"/>
      <c r="M43" s="3"/>
    </row>
    <row r="44" customFormat="false" ht="18" hidden="false" customHeight="true" outlineLevel="0" collapsed="false">
      <c r="B44" s="41" t="str">
        <f aca="false">INPUTS!B56</f>
        <v>A pesar de que llevemos ya más de la mitad del mes, sé que no está siendo fácil, pero confío en que poco a poco vayamos remontando esta situación. No quiero que sigamos recayendo una y otra vez en lo mismo y como te digo, sigo insistiendo en que el feedback que me transmitas es esencial para seguir progresando y buscando soluciones de cara al futuro. Ánimo con ello Jaime y a seguir con todo.</v>
      </c>
      <c r="C44" s="41"/>
      <c r="D44" s="41"/>
      <c r="E44" s="41"/>
      <c r="F44" s="41"/>
      <c r="G44" s="41"/>
      <c r="H44" s="41"/>
      <c r="I44" s="41"/>
      <c r="J44" s="41"/>
      <c r="K44" s="41"/>
      <c r="L44" s="41"/>
      <c r="M44" s="41"/>
    </row>
    <row r="45" customFormat="false" ht="18" hidden="false" customHeight="true" outlineLevel="0" collapsed="false">
      <c r="B45" s="41"/>
      <c r="C45" s="41"/>
      <c r="D45" s="41"/>
      <c r="E45" s="41"/>
      <c r="F45" s="41"/>
      <c r="G45" s="41"/>
      <c r="H45" s="41"/>
      <c r="I45" s="41"/>
      <c r="J45" s="41"/>
      <c r="K45" s="41"/>
      <c r="L45" s="41"/>
      <c r="M45" s="41"/>
    </row>
    <row r="46" customFormat="false" ht="18" hidden="false" customHeight="true" outlineLevel="0" collapsed="false">
      <c r="B46" s="41"/>
      <c r="C46" s="41"/>
      <c r="D46" s="41"/>
      <c r="E46" s="41"/>
      <c r="F46" s="41"/>
      <c r="G46" s="41"/>
      <c r="H46" s="41"/>
      <c r="I46" s="41"/>
      <c r="J46" s="41"/>
      <c r="K46" s="41"/>
      <c r="L46" s="41"/>
      <c r="M46" s="41"/>
    </row>
    <row r="47" customFormat="false" ht="18" hidden="false" customHeight="true" outlineLevel="0" collapsed="false">
      <c r="B47" s="41"/>
      <c r="C47" s="41"/>
      <c r="D47" s="41"/>
      <c r="E47" s="41"/>
      <c r="F47" s="41"/>
      <c r="G47" s="41"/>
      <c r="H47" s="41"/>
      <c r="I47" s="41"/>
      <c r="J47" s="41"/>
      <c r="K47" s="41"/>
      <c r="L47" s="41"/>
      <c r="M47" s="41"/>
    </row>
    <row r="48" customFormat="false" ht="18" hidden="false" customHeight="true" outlineLevel="0" collapsed="false">
      <c r="B48" s="41"/>
      <c r="C48" s="41"/>
      <c r="D48" s="41"/>
      <c r="E48" s="41"/>
      <c r="F48" s="41"/>
      <c r="G48" s="41"/>
      <c r="H48" s="41"/>
      <c r="I48" s="41"/>
      <c r="J48" s="41"/>
      <c r="K48" s="41"/>
      <c r="L48" s="41"/>
      <c r="M48" s="41"/>
    </row>
    <row r="49" customFormat="false" ht="18" hidden="false" customHeight="true" outlineLevel="0" collapsed="false">
      <c r="B49" s="41"/>
      <c r="C49" s="41"/>
      <c r="D49" s="41"/>
      <c r="E49" s="41"/>
      <c r="F49" s="41"/>
      <c r="G49" s="41"/>
      <c r="H49" s="41"/>
      <c r="I49" s="41"/>
      <c r="J49" s="41"/>
      <c r="K49" s="41"/>
      <c r="L49" s="41"/>
      <c r="M49" s="41"/>
    </row>
    <row r="50" customFormat="false" ht="18" hidden="false" customHeight="true" outlineLevel="0" collapsed="false">
      <c r="B50" s="41"/>
      <c r="C50" s="41"/>
      <c r="D50" s="41"/>
      <c r="E50" s="41"/>
      <c r="F50" s="41"/>
      <c r="G50" s="41"/>
      <c r="H50" s="41"/>
      <c r="I50" s="41"/>
      <c r="J50" s="41"/>
      <c r="K50" s="41"/>
      <c r="L50" s="41"/>
      <c r="M50" s="41"/>
    </row>
    <row r="51" customFormat="false" ht="18" hidden="false" customHeight="true" outlineLevel="0" collapsed="false">
      <c r="B51" s="41"/>
      <c r="C51" s="41"/>
      <c r="D51" s="41"/>
      <c r="E51" s="41"/>
      <c r="F51" s="41"/>
      <c r="G51" s="41"/>
      <c r="H51" s="41"/>
      <c r="I51" s="41"/>
      <c r="J51" s="41"/>
      <c r="K51" s="41"/>
      <c r="L51" s="41"/>
      <c r="M51" s="41"/>
    </row>
    <row r="53" customFormat="false" ht="7.5" hidden="false" customHeight="true" outlineLevel="0" collapsed="false"/>
    <row r="54" customFormat="false" ht="21.75" hidden="false" customHeight="true" outlineLevel="0" collapsed="false">
      <c r="B54" s="39" t="s">
        <v>104</v>
      </c>
      <c r="C54" s="39"/>
      <c r="D54" s="39"/>
      <c r="E54" s="39"/>
      <c r="F54" s="39"/>
      <c r="G54" s="39"/>
      <c r="H54" s="39"/>
      <c r="I54" s="39"/>
      <c r="J54" s="39"/>
      <c r="K54" s="39"/>
      <c r="L54" s="39"/>
      <c r="M54" s="39"/>
    </row>
  </sheetData>
  <mergeCells count="19">
    <mergeCell ref="B2:M2"/>
    <mergeCell ref="B3:M3"/>
    <mergeCell ref="B5:M5"/>
    <mergeCell ref="B7:M7"/>
    <mergeCell ref="B9:E9"/>
    <mergeCell ref="F9:I9"/>
    <mergeCell ref="J9:M9"/>
    <mergeCell ref="B10:E10"/>
    <mergeCell ref="F10:I10"/>
    <mergeCell ref="J10:M10"/>
    <mergeCell ref="B11:E11"/>
    <mergeCell ref="F11:I11"/>
    <mergeCell ref="J11:M11"/>
    <mergeCell ref="B13:M13"/>
    <mergeCell ref="B33:M33"/>
    <mergeCell ref="B34:M41"/>
    <mergeCell ref="B43:M43"/>
    <mergeCell ref="B44:M51"/>
    <mergeCell ref="B54:M54"/>
  </mergeCells>
  <printOptions headings="false" gridLines="false" gridLinesSet="true" horizontalCentered="true" verticalCentered="true"/>
  <pageMargins left="0.1" right="0.1" top="0.1" bottom="0.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sheetData>
    <row r="1" customFormat="false" ht="15" hidden="false" customHeight="false" outlineLevel="0" collapsed="false">
      <c r="A1" s="0" t="s">
        <v>114</v>
      </c>
      <c r="B1" s="0" t="s">
        <v>115</v>
      </c>
      <c r="C1" s="0" t="s">
        <v>116</v>
      </c>
      <c r="E1" s="0" t="s">
        <v>117</v>
      </c>
      <c r="F1" s="0" t="s">
        <v>118</v>
      </c>
      <c r="G1" s="0" t="s">
        <v>119</v>
      </c>
      <c r="I1" s="0" t="s">
        <v>120</v>
      </c>
      <c r="J1" s="0" t="s">
        <v>115</v>
      </c>
    </row>
    <row r="2" customFormat="false" ht="15" hidden="false" customHeight="false" outlineLevel="0" collapsed="false">
      <c r="A2" s="0" t="str">
        <f aca="false">INPUTS!B23</f>
        <v>S 1 (2 a 8)</v>
      </c>
      <c r="B2" s="0" t="n">
        <f aca="false">INPUTS!C23</f>
        <v>24.7</v>
      </c>
      <c r="C2" s="0" t="n">
        <f aca="false">ROUND(IFERROR(TIMEVALUE(INPUTS!F23)*24,0),1)</f>
        <v>4.8</v>
      </c>
      <c r="E2" s="0" t="s">
        <v>49</v>
      </c>
      <c r="F2" s="42" t="n">
        <f aca="false">INPUTS!C32</f>
        <v>1.34</v>
      </c>
      <c r="G2" s="42" t="n">
        <f aca="false">INPUTS!C40</f>
        <v>1.54</v>
      </c>
      <c r="I2" s="0" t="s">
        <v>121</v>
      </c>
      <c r="J2" s="43" t="n">
        <f aca="false">INPUTS!C65</f>
        <v>226</v>
      </c>
    </row>
    <row r="3" customFormat="false" ht="15" hidden="false" customHeight="false" outlineLevel="0" collapsed="false">
      <c r="A3" s="0" t="str">
        <f aca="false">INPUTS!B24</f>
        <v>S 2 (9 a 15)</v>
      </c>
      <c r="B3" s="0" t="n">
        <f aca="false">INPUTS!C24</f>
        <v>29.2</v>
      </c>
      <c r="C3" s="0" t="n">
        <f aca="false">ROUND(IFERROR(TIMEVALUE(INPUTS!F24)*24,0),1)</f>
        <v>4.9</v>
      </c>
      <c r="E3" s="0" t="s">
        <v>51</v>
      </c>
      <c r="F3" s="42" t="n">
        <f aca="false">INPUTS!C33</f>
        <v>34.3</v>
      </c>
      <c r="G3" s="42" t="n">
        <f aca="false">INPUTS!C41</f>
        <v>4.21</v>
      </c>
      <c r="I3" s="0" t="s">
        <v>122</v>
      </c>
      <c r="J3" s="43" t="n">
        <f aca="false">INPUTS!C66</f>
        <v>77.1</v>
      </c>
    </row>
    <row r="4" customFormat="false" ht="15" hidden="false" customHeight="false" outlineLevel="0" collapsed="false">
      <c r="A4" s="0" t="str">
        <f aca="false">INPUTS!B25</f>
        <v>S 3 (16 a 22)</v>
      </c>
      <c r="B4" s="0" t="n">
        <f aca="false">INPUTS!C25</f>
        <v>10.8</v>
      </c>
      <c r="C4" s="0" t="n">
        <f aca="false">ROUND(IFERROR(TIMEVALUE(INPUTS!F25)*24,0),1)</f>
        <v>1.1</v>
      </c>
      <c r="E4" s="0" t="s">
        <v>53</v>
      </c>
      <c r="F4" s="42" t="n">
        <f aca="false">INPUTS!C34</f>
        <v>44.7</v>
      </c>
      <c r="G4" s="42" t="n">
        <f aca="false">INPUTS!C42</f>
        <v>6.9</v>
      </c>
      <c r="I4" s="0" t="s">
        <v>123</v>
      </c>
      <c r="J4" s="43" t="n">
        <f aca="false">INPUTS!C67</f>
        <v>64.7</v>
      </c>
    </row>
    <row r="5" customFormat="false" ht="15" hidden="false" customHeight="false" outlineLevel="0" collapsed="false">
      <c r="A5" s="0" t="str">
        <f aca="false">INPUTS!B26</f>
        <v>S 4 (23 a 29)</v>
      </c>
      <c r="B5" s="0" t="n">
        <f aca="false">INPUTS!C26</f>
        <v>0</v>
      </c>
      <c r="C5" s="0" t="n">
        <f aca="false">ROUND(IFERROR(TIMEVALUE(INPUTS!F26)*24,0),1)</f>
        <v>0.9</v>
      </c>
      <c r="E5" s="0" t="s">
        <v>55</v>
      </c>
      <c r="F5" s="42" t="n">
        <f aca="false">INPUTS!C35</f>
        <v>13.8</v>
      </c>
      <c r="G5" s="42" t="n">
        <f aca="false">INPUTS!C43</f>
        <v>18.6</v>
      </c>
      <c r="I5" s="0" t="s">
        <v>124</v>
      </c>
      <c r="J5" s="43" t="n">
        <f aca="false">INPUTS!C68</f>
        <v>0</v>
      </c>
    </row>
    <row r="6" customFormat="false" ht="15" hidden="false" customHeight="false" outlineLevel="0" collapsed="false">
      <c r="A6" s="0" t="str">
        <f aca="false">INPUTS!B27</f>
        <v>S 5 (30-fin)</v>
      </c>
      <c r="B6" s="0" t="n">
        <f aca="false">INPUTS!C27</f>
        <v>0</v>
      </c>
      <c r="C6" s="0" t="n">
        <f aca="false">ROUND(IFERROR(TIMEVALUE(INPUTS!F27)*24,0),1)</f>
        <v>0</v>
      </c>
      <c r="E6" s="0" t="s">
        <v>50</v>
      </c>
      <c r="F6" s="42" t="n">
        <f aca="false">INPUTS!F32</f>
        <v>3.12</v>
      </c>
      <c r="G6" s="42" t="n">
        <f aca="false">INPUTS!F40</f>
        <v>13.9</v>
      </c>
      <c r="I6" s="0" t="s">
        <v>125</v>
      </c>
      <c r="J6" s="43" t="n">
        <f aca="false">INPUTS!C69</f>
        <v>0</v>
      </c>
    </row>
    <row r="7" customFormat="false" ht="15" hidden="false" customHeight="false" outlineLevel="0" collapsed="false">
      <c r="E7" s="0" t="s">
        <v>52</v>
      </c>
      <c r="F7" s="42" t="n">
        <f aca="false">INPUTS!F33</f>
        <v>1.47</v>
      </c>
      <c r="G7" s="42" t="n">
        <f aca="false">INPUTS!F41</f>
        <v>0</v>
      </c>
      <c r="I7" s="0" t="s">
        <v>126</v>
      </c>
      <c r="J7" s="43" t="n">
        <f aca="false">INPUTS!C70</f>
        <v>0</v>
      </c>
    </row>
    <row r="8" customFormat="false" ht="15" hidden="false" customHeight="false" outlineLevel="0" collapsed="false">
      <c r="E8" s="0" t="s">
        <v>54</v>
      </c>
      <c r="F8" s="42" t="n">
        <f aca="false">INPUTS!F34</f>
        <v>0.23</v>
      </c>
      <c r="G8" s="42" t="n">
        <f aca="false">INPUTS!F42</f>
        <v>0</v>
      </c>
      <c r="I8" s="0" t="s">
        <v>127</v>
      </c>
      <c r="J8" s="43" t="n">
        <f aca="false">INPUTS!F65</f>
        <v>0</v>
      </c>
    </row>
    <row r="9" customFormat="false" ht="15" hidden="false" customHeight="false" outlineLevel="0" collapsed="false">
      <c r="E9" s="0" t="s">
        <v>56</v>
      </c>
      <c r="F9" s="42" t="n">
        <f aca="false">INPUTS!F35</f>
        <v>1.08</v>
      </c>
      <c r="G9" s="42" t="n">
        <f aca="false">INPUTS!F43</f>
        <v>0</v>
      </c>
      <c r="I9" s="0" t="s">
        <v>128</v>
      </c>
      <c r="J9" s="43" t="n">
        <f aca="false">INPUTS!F66</f>
        <v>0</v>
      </c>
    </row>
    <row r="10" customFormat="false" ht="15" hidden="false" customHeight="false" outlineLevel="0" collapsed="false">
      <c r="I10" s="0" t="s">
        <v>129</v>
      </c>
      <c r="J10" s="43" t="n">
        <f aca="false">INPUTS!F67</f>
        <v>0</v>
      </c>
    </row>
    <row r="11" customFormat="false" ht="15" hidden="false" customHeight="false" outlineLevel="0" collapsed="false">
      <c r="I11" s="0" t="s">
        <v>130</v>
      </c>
      <c r="J11" s="43" t="n">
        <f aca="false">INPUTS!F68</f>
        <v>0</v>
      </c>
    </row>
    <row r="12" customFormat="false" ht="15" hidden="false" customHeight="false" outlineLevel="0" collapsed="false">
      <c r="I12" s="0" t="s">
        <v>131</v>
      </c>
      <c r="J12" s="43" t="n">
        <f aca="false">INPUTS!F69</f>
        <v>0</v>
      </c>
    </row>
    <row r="13" customFormat="false" ht="15" hidden="false" customHeight="false" outlineLevel="0" collapsed="false">
      <c r="I13" s="0" t="s">
        <v>132</v>
      </c>
      <c r="J13" s="43" t="n">
        <f aca="false">INPUTS!F70</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2026-04-25T08:53:31Z</dcterms:created>
  <dc:creator>openpyxl</dc:creator>
  <dc:description/>
  <dc:language>en-US</dc:language>
  <cp:lastModifiedBy/>
  <dcterms:modified xsi:type="dcterms:W3CDTF">2026-04-25T08:53:35Z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